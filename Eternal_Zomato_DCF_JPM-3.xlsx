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&amp;L" sheetId="3" state="visible" r:id="rId5"/>
    <sheet name="Balance Sheet" sheetId="4" state="visible" r:id="rId6"/>
    <sheet name="Cash Flow" sheetId="5" state="visible" r:id="rId7"/>
    <sheet name="WACC" sheetId="6" state="visible" r:id="rId8"/>
    <sheet name="DCF" sheetId="7" state="visible" r:id="rId9"/>
    <sheet name="Sensi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<sst xmlns="http://schemas.openxmlformats.org/spreadsheetml/2006/main" count="253" uniqueCount="202">
  <si>
    <t xml:space="preserve">ETERNAL LIMITED (NSE: ETERNAL)</t>
  </si>
  <si>
    <t xml:space="preserve">Equity Valuation  |  Discounted Cash Flow Analysis</t>
  </si>
  <si>
    <t xml:space="preserve">COMPANY SNAPSHOT</t>
  </si>
  <si>
    <t xml:space="preserve">Company</t>
  </si>
  <si>
    <t xml:space="preserve">Eternal Limited (formerly Zomato Limited)</t>
  </si>
  <si>
    <t xml:space="preserve">Ticker</t>
  </si>
  <si>
    <t xml:space="preserve">NSE: ETERNAL  |  BSE: 543320</t>
  </si>
  <si>
    <t xml:space="preserve">Sector</t>
  </si>
  <si>
    <t xml:space="preserve">Consumer Internet  —  Food Delivery, Quick Commerce, B2B Supplies</t>
  </si>
  <si>
    <t xml:space="preserve">Market Capitalisation</t>
  </si>
  <si>
    <t xml:space="preserve">₹2,35,276 Cr  (CMP ₹244 × 964 Cr shares, June 2025)</t>
  </si>
  <si>
    <t xml:space="preserve">52-Week High / Low</t>
  </si>
  <si>
    <t xml:space="preserve">₹368  /  ₹213</t>
  </si>
  <si>
    <t xml:space="preserve">Face Value</t>
  </si>
  <si>
    <t xml:space="preserve">₹1.00  per share</t>
  </si>
  <si>
    <t xml:space="preserve">Fiscal Year End</t>
  </si>
  <si>
    <t xml:space="preserve">31 March</t>
  </si>
  <si>
    <t xml:space="preserve">Reporting Currency</t>
  </si>
  <si>
    <t xml:space="preserve">INR  (all model figures in INR Crores)</t>
  </si>
  <si>
    <t xml:space="preserve">MODEL OVERVIEW</t>
  </si>
  <si>
    <t xml:space="preserve">Valuation Method</t>
  </si>
  <si>
    <t xml:space="preserve">Discounted Cash Flow  (FCFF-based unlevered DCF)</t>
  </si>
  <si>
    <t xml:space="preserve">Forecast Horizon</t>
  </si>
  <si>
    <t xml:space="preserve">FY2026E – FY2031E  (6-year explicit forecast)</t>
  </si>
  <si>
    <t xml:space="preserve">Terminal Value</t>
  </si>
  <si>
    <t xml:space="preserve">Gordon Growth Model  |  g = 5.5%</t>
  </si>
  <si>
    <t xml:space="preserve">Discount Rate</t>
  </si>
  <si>
    <t xml:space="preserve">WACC ≈ 14.5%  (CAPM: Rf 7.0% + β 1.25 × ERP 7.0%;  Kd post-tax ≈ 7.1%)</t>
  </si>
  <si>
    <t xml:space="preserve">Data Source</t>
  </si>
  <si>
    <t xml:space="preserve">Eternal Ltd Annual Report FY2024-25; BSE/NSE filings</t>
  </si>
  <si>
    <t xml:space="preserve">Prepared by</t>
  </si>
  <si>
    <t xml:space="preserve">Yogender</t>
  </si>
  <si>
    <t xml:space="preserve">Date</t>
  </si>
  <si>
    <t xml:space="preserve">June 2025</t>
  </si>
  <si>
    <t xml:space="preserve">DISCLAIMER: Prepared for academic and research purposes only. Does not constitute investment advice. Forward-looking projections are estimates; actual results may differ materially.</t>
  </si>
  <si>
    <t xml:space="preserve">Eternal Limited  —  Key Model Assumptions</t>
  </si>
  <si>
    <t xml:space="preserve">Blue = hardcoded input   Black = formula   Green = link to another sheet</t>
  </si>
  <si>
    <t xml:space="preserve">INR Crores, unless stated</t>
  </si>
  <si>
    <t xml:space="preserve">FY23A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</si>
  <si>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</si>
  <si>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</si>
  <si>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</si>
  <si>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</si>
  <si>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</si>
  <si>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</si>
  <si>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</si>
  <si>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</si>
  <si>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A.  SEGMENT REVENUE PROJECTIONS</t>
  </si>
  <si>
    <t xml:space="preserve">    Food Delivery</t>
  </si>
  <si>
    <t xml:space="preserve">    Quick Commerce  (Blinkit)</t>
  </si>
  <si>
    <t xml:space="preserve">    Hyperpure  (B2B Supplies)</t>
  </si>
  <si>
    <t xml:space="preserve">    Going-Out &amp; Entertainment</t>
  </si>
  <si>
    <t xml:space="preserve">    Others</t>
  </si>
  <si>
    <t xml:space="preserve">Total Revenue</t>
  </si>
  <si>
    <t xml:space="preserve">    YoY Growth</t>
  </si>
  <si>
    <t xml:space="preserve">—</t>
  </si>
  <si>
    <t xml:space="preserve">B.  MARGIN &amp; PROFITABILITY ASSUMPTIONS</t>
  </si>
  <si>
    <t xml:space="preserve">    Gross Profit Margin (%)</t>
  </si>
  <si>
    <t xml:space="preserve">    EBITDA Margin  (adj., ex-ESOP)</t>
  </si>
  <si>
    <t xml:space="preserve">    D&amp;A as % of Revenue</t>
  </si>
  <si>
    <t xml:space="preserve">    Effective Tax Rate</t>
  </si>
  <si>
    <t xml:space="preserve">C.  CAPEX, WORKING CAPITAL &amp; OTHER</t>
  </si>
  <si>
    <t xml:space="preserve">    Capex as % of Revenue</t>
  </si>
  <si>
    <t xml:space="preserve">    Change in NWC as % of ΔRevenue</t>
  </si>
  <si>
    <t xml:space="preserve">    Other Income  (INR Cr)</t>
  </si>
  <si>
    <t xml:space="preserve">    Finance Costs  (INR Cr)</t>
  </si>
  <si>
    <t xml:space="preserve">Eternal Limited  —  Income Statement  (Consolidated)</t>
  </si>
  <si>
    <t xml:space="preserve">Source: Annual Report FY2024-25  |  FY2026E–FY2031E: analyst estimates</t>
  </si>
  <si>
    <t xml:space="preserve">REVENUE FROM OPERATIONS</t>
  </si>
  <si>
    <t xml:space="preserve">    YoY Growth (%)</t>
  </si>
  <si>
    <t xml:space="preserve">COST STRUCTURE</t>
  </si>
  <si>
    <t xml:space="preserve">    Cost of Revenue  (delivery, supply chain, COGS)</t>
  </si>
  <si>
    <t xml:space="preserve">Gross Profit</t>
  </si>
  <si>
    <t xml:space="preserve">    Gross Margin (%)</t>
  </si>
  <si>
    <t xml:space="preserve">EBITDA &amp; OPERATING PROFIT</t>
  </si>
  <si>
    <t xml:space="preserve">EBITDA  (adjusted, ex-ESOP)</t>
  </si>
  <si>
    <t xml:space="preserve">    EBITDA Margin (%)</t>
  </si>
  <si>
    <t xml:space="preserve">    Depreciation &amp; Amortisation</t>
  </si>
  <si>
    <t xml:space="preserve">EBIT  (Operating Profit)</t>
  </si>
  <si>
    <t xml:space="preserve">BELOW-THE-LINE ITEMS</t>
  </si>
  <si>
    <t xml:space="preserve">    Other Income  (treasury / interest earned)</t>
  </si>
  <si>
    <t xml:space="preserve">    Finance Costs</t>
  </si>
  <si>
    <t xml:space="preserve">Profit Before Tax  (PBT)</t>
  </si>
  <si>
    <t xml:space="preserve">    Income Tax Expense</t>
  </si>
  <si>
    <t xml:space="preserve">Net Profit After Tax  (PAT)</t>
  </si>
  <si>
    <t xml:space="preserve">    PAT Margin (%)</t>
  </si>
  <si>
    <t xml:space="preserve">Eternal Limited  —  Balance Sheet  (Consolidated)</t>
  </si>
  <si>
    <t xml:space="preserve">Source: Annual Report FY2024-25  |  Projections: analyst estimates</t>
  </si>
  <si>
    <t xml:space="preserve">NON-CURRENT ASSETS</t>
  </si>
  <si>
    <t xml:space="preserve">    Net Fixed Assets  (PPE + CWIP)</t>
  </si>
  <si>
    <t xml:space="preserve">    Non-Current Investments</t>
  </si>
  <si>
    <t xml:space="preserve">    Other Non-Current Assets</t>
  </si>
  <si>
    <t xml:space="preserve">Total Non-Current Assets</t>
  </si>
  <si>
    <t xml:space="preserve">CURRENT ASSETS</t>
  </si>
  <si>
    <t xml:space="preserve">    Cash &amp; Cash Equivalents</t>
  </si>
  <si>
    <t xml:space="preserve">    Bank Deposits  (&gt;3 months maturity)</t>
  </si>
  <si>
    <t xml:space="preserve">    Current Investments  (mutual funds)</t>
  </si>
  <si>
    <t xml:space="preserve">    Trade Receivables</t>
  </si>
  <si>
    <t xml:space="preserve">    Inventories</t>
  </si>
  <si>
    <t xml:space="preserve">    Other Current Assets</t>
  </si>
  <si>
    <t xml:space="preserve">Total Current Assets</t>
  </si>
  <si>
    <t xml:space="preserve">TOTAL ASSETS</t>
  </si>
  <si>
    <t xml:space="preserve">EQUITY &amp; LIABILITIES</t>
  </si>
  <si>
    <t xml:space="preserve">    Shareholders' Equity  (paid-up + reserves)</t>
  </si>
  <si>
    <t xml:space="preserve">    Borrowings  (financial debt)</t>
  </si>
  <si>
    <t xml:space="preserve">    Trade Payables &amp; Other Liabilities</t>
  </si>
  <si>
    <t xml:space="preserve">TOTAL EQUITY &amp; LIABILITIES</t>
  </si>
  <si>
    <t xml:space="preserve">    Balance check  (assets – liabilities)</t>
  </si>
  <si>
    <t xml:space="preserve">Eternal Limited  —  Cash Flow Statement  (Consolidated)</t>
  </si>
  <si>
    <t xml:space="preserve">A.  OPERATING CASH FLOW</t>
  </si>
  <si>
    <t xml:space="preserve">    EBITDA  (adj., ex-ESOP)</t>
  </si>
  <si>
    <t xml:space="preserve">    (–) Cash Taxes Paid</t>
  </si>
  <si>
    <t xml:space="preserve">    (±) Change in Net Working Capital</t>
  </si>
  <si>
    <t xml:space="preserve">Cash from Operations  (CFO)</t>
  </si>
  <si>
    <t xml:space="preserve">B.  INVESTING CASH FLOW</t>
  </si>
  <si>
    <t xml:space="preserve">    (–) Capital Expenditure</t>
  </si>
  <si>
    <t xml:space="preserve">    Other Investing Activities  (net)</t>
  </si>
  <si>
    <t xml:space="preserve">Cash from Investing  (CFI)</t>
  </si>
  <si>
    <t xml:space="preserve">C.  FINANCING CASH FLOW</t>
  </si>
  <si>
    <t xml:space="preserve">    Net Borrowings  (raised / repaid)</t>
  </si>
  <si>
    <t xml:space="preserve">    Equity Issuance  (net)</t>
  </si>
  <si>
    <t xml:space="preserve">Cash from Financing  (CFF)</t>
  </si>
  <si>
    <t xml:space="preserve">D.  FREE CASH FLOW TO FIRM  (FCFF)  —  DCF INPUT</t>
  </si>
  <si>
    <t xml:space="preserve">    EBIT</t>
  </si>
  <si>
    <t xml:space="preserve">    (–) Taxes on EBIT  [EBIT × t]</t>
  </si>
  <si>
    <t xml:space="preserve">    NOPAT  (EBIT after tax)</t>
  </si>
  <si>
    <t xml:space="preserve">    (+) Depreciation &amp; Amortisation</t>
  </si>
  <si>
    <t xml:space="preserve">    (±) Change in NWC</t>
  </si>
  <si>
    <t xml:space="preserve">Free Cash Flow to Firm  (FCFF)</t>
  </si>
  <si>
    <t xml:space="preserve">    FCFF Margin (%)</t>
  </si>
  <si>
    <t xml:space="preserve">Eternal Limited  —  WACC  —  Weighted Average Cost of Capital</t>
  </si>
  <si>
    <t xml:space="preserve">CAPM methodology  |  Market-value weighted capital structure  |  June 2025</t>
  </si>
  <si>
    <t xml:space="preserve">1.  COST OF EQUITY  (CAPM)</t>
  </si>
  <si>
    <t xml:space="preserve">    Risk-Free Rate  (Rf)</t>
  </si>
  <si>
    <t xml:space="preserve">India 10Y G-Sec yield, Jun 2025</t>
  </si>
  <si>
    <t xml:space="preserve">    Equity Risk Premium  (ERP)</t>
  </si>
  <si>
    <t xml:space="preserve">India ERP per Damodaran (Jan 2025) ~6.8%; rounded to 7.0%</t>
  </si>
  <si>
    <t xml:space="preserve">    Beta  (β) — 5Y weekly vs Nifty 50</t>
  </si>
  <si>
    <t xml:space="preserve">High-growth consumer internet platform; β &gt; 1 appropriate</t>
  </si>
  <si>
    <t xml:space="preserve">    Cost of Equity  [Ke = Rf + β × ERP]</t>
  </si>
  <si>
    <t xml:space="preserve">Ke = Rf + Beta x ERP = 7.0% + 1.25 x 7.0% = 15.75%</t>
  </si>
  <si>
    <t xml:space="preserve">2.  COST OF DEBT</t>
  </si>
  <si>
    <t xml:space="preserve">    Pre-Tax Cost of Debt  (Kd, gross)</t>
  </si>
  <si>
    <t xml:space="preserve">Blended: FY25 finance cost ÷ avg. borrowings; lease-inclusive</t>
  </si>
  <si>
    <t xml:space="preserve">    Marginal Tax Rate  (for interest tax shield)</t>
  </si>
  <si>
    <t xml:space="preserve">Long-run normalised rate post full-profitability</t>
  </si>
  <si>
    <t xml:space="preserve">    After-Tax Cost of Debt  [Kd × (1–t)]</t>
  </si>
  <si>
    <t xml:space="preserve">3.  CAPITAL STRUCTURE  (MARKET-VALUE WEIGHTS)</t>
  </si>
  <si>
    <t xml:space="preserve">    Market Cap — Equity  (E)</t>
  </si>
  <si>
    <t xml:space="preserve">CMP ₹244 × 964 Cr shares (Jun 2025)</t>
  </si>
  <si>
    <t xml:space="preserve">    Total Financial Debt  (D)</t>
  </si>
  <si>
    <t xml:space="preserve">FY2025A borrowings per Balance Sheet</t>
  </si>
  <si>
    <t xml:space="preserve">    Total Capital  (V = E + D)</t>
  </si>
  <si>
    <t xml:space="preserve">    Weight of Equity  (We = E/V)</t>
  </si>
  <si>
    <t xml:space="preserve">Equity-dominated structure; debt &lt; 1% of total capital</t>
  </si>
  <si>
    <t xml:space="preserve">    Weight of Debt  (Wd = D/V)</t>
  </si>
  <si>
    <t xml:space="preserve">4.  WACC OUTPUT</t>
  </si>
  <si>
    <t xml:space="preserve">WACC  =  We × Ke  +  Wd × Kd(1–t)</t>
  </si>
  <si>
    <t xml:space="preserve">Primary discount rate used in DCF</t>
  </si>
  <si>
    <t xml:space="preserve">5.  WACC SENSITIVITY  —  BETA VS EQUITY RISK PREMIUM</t>
  </si>
  <si>
    <t xml:space="preserve">β  ↓  /  ERP  →</t>
  </si>
  <si>
    <t xml:space="preserve">Eternal Limited  —  DCF Valuation  —  FCFF-Based Unlevered DCF</t>
  </si>
  <si>
    <t xml:space="preserve">6-year explicit forecast  |  Mid-year discounting  |  Gordon Growth terminal value  |  As of June 2025</t>
  </si>
  <si>
    <t xml:space="preserve">STEP 1  —  PROJECTED FCFF  (FY2026E–FY2031E)</t>
  </si>
  <si>
    <t xml:space="preserve">    Revenue from Operations</t>
  </si>
  <si>
    <t xml:space="preserve">STEP 2  —  DISCOUNTING TO PRESENT VALUE</t>
  </si>
  <si>
    <t xml:space="preserve">    WACC  (discount rate)</t>
  </si>
  <si>
    <t xml:space="preserve">    Discount Period  (mid-year convention)</t>
  </si>
  <si>
    <t xml:space="preserve">    Discount Factor  [1/(1+WACC)^t]</t>
  </si>
  <si>
    <t xml:space="preserve">PV of FCFF</t>
  </si>
  <si>
    <t xml:space="preserve">STEP 3  —  TERMINAL VALUE  (GORDON GROWTH MODEL)</t>
  </si>
  <si>
    <t xml:space="preserve">    Terminal Growth Rate  (g)</t>
  </si>
  <si>
    <t xml:space="preserve">India nominal GDP ~12%; haircut for maturity; g &lt; WACC</t>
  </si>
  <si>
    <t xml:space="preserve">    Terminal Year FCFF  (FY2031E)</t>
  </si>
  <si>
    <t xml:space="preserve">    Terminal Value  [TV = FCFF₂₀₃₁×(1+g) / (WACC−g)]</t>
  </si>
  <si>
    <t xml:space="preserve">Gordon Growth Model perpetuity</t>
  </si>
  <si>
    <t xml:space="preserve">PV of Terminal Value</t>
  </si>
  <si>
    <t xml:space="preserve">STEP 4  —  ENTERPRISE VALUE TO EQUITY VALUE BRIDGE</t>
  </si>
  <si>
    <t xml:space="preserve">    Sum of PV of FCFF  (FY2026E–FY2031E)</t>
  </si>
  <si>
    <t xml:space="preserve">    (+) PV of Terminal Value</t>
  </si>
  <si>
    <t xml:space="preserve">Enterprise Value  (EV)</t>
  </si>
  <si>
    <t xml:space="preserve">    (+) Cash &amp; Liquid Investments  (FY2025A)</t>
  </si>
  <si>
    <t xml:space="preserve">    (–) Total Financial Debt  (FY2025A)</t>
  </si>
  <si>
    <t xml:space="preserve">Equity Value</t>
  </si>
  <si>
    <t xml:space="preserve">    ÷  Shares Outstanding  (Crores)</t>
  </si>
  <si>
    <t xml:space="preserve">Intrinsic Value per Share  (₹)</t>
  </si>
  <si>
    <t xml:space="preserve">    Current Market Price  (CMP, ₹)</t>
  </si>
  <si>
    <t xml:space="preserve">    Upside / (Downside) to CMP</t>
  </si>
  <si>
    <t xml:space="preserve">SANITY CHECKS</t>
  </si>
  <si>
    <t xml:space="preserve">    Terminal Value as % of EV</t>
  </si>
  <si>
    <t xml:space="preserve">    Implied EV / FY2026E Revenue</t>
  </si>
  <si>
    <t xml:space="preserve">    Implied EV / FY2031E EBITDA</t>
  </si>
  <si>
    <t xml:space="preserve">    Implied P/E  (FY2026E)</t>
  </si>
  <si>
    <t xml:space="preserve">Eternal Limited  —  Sensitivity Analysis  —  Intrinsic Value per Share  (₹)</t>
  </si>
  <si>
    <t xml:space="preserve">Base: WACC 15.7%, g 5.5%, terminal EBITDA margin 16%  |  Base price shown in bold box  |  CMP ₹244</t>
  </si>
  <si>
    <t xml:space="preserve">TABLE 1  —  Intrinsic Value per Share  (₹)  |  WACC  ×  Terminal Growth Rate  (g)</t>
  </si>
  <si>
    <t xml:space="preserve">Base case: terminal EBITDA margin 16%  |  ★ = base scenario  (WACC 15.7%)</t>
  </si>
  <si>
    <t xml:space="preserve">WACC ↓  /  g →</t>
  </si>
  <si>
    <t xml:space="preserve">TABLE 2  —  Intrinsic Value per Share  (₹)  |  WACC  ×  Terminal EBITDA Margin  (FY2031E)</t>
  </si>
  <si>
    <t xml:space="preserve">Terminal growth rate fixed at g = 5.5%  |  All other assumptions constant</t>
  </si>
  <si>
    <t xml:space="preserve">WACC ↓  /  Margin →</t>
  </si>
  <si>
    <t xml:space="preserve">Note: Bold box = base case. Values in regular weight = upside to CMP (₹244). Italics / grey = downside.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</si>
</sst>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_);\(#,##0.0\);\-"/>
    <numFmt numFmtId="166" formatCode="0.0%;\(0.0%\);\-"/>
    <numFmt numFmtId="167" formatCode="@"/>
    <numFmt numFmtId="168" formatCode="0.00"/>
    <numFmt numFmtId="169" formatCode="#,##0_);\(#,##0\);\-"/>
    <numFmt numFmtId="170" formatCode="0.00%"/>
    <numFmt numFmtId="171" formatCode="0.0"/>
    <numFmt numFmtId="172" formatCode="0.0000"/>
    <numFmt numFmtId="173" formatCode="\₹#,##0.0;&quot;(₹&quot;#,##0.0\);\-"/>
    <numFmt numFmtId="174" formatCode="0.0\x;\(0.0&quot;x)&quot;;\-"/>
    <numFmt numFmtId="175" formatCode="0.0%"/>
    <numFmt numFmtId="176" formatCode="\₹#,##0"/>
    <numFmt numFmtId="17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A6A6A6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7"/>
      <color rgb="FFA6A6A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8"/>
      <name val="Arial"/>
      <family val="0"/>
      <charset val="1"/>
    </font>
    <font>
      <sz val="8"/>
      <color rgb="FFA6A6A6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8"/>
      <color rgb="FF008000"/>
      <name val="Arial"/>
      <family val="0"/>
      <charset val="1"/>
    </font>
    <font>
      <i val="true"/>
      <sz val="8"/>
      <color rgb="FFA6A6A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1" min="2" style="1" width="20"/>
  </cols>
  <sheetData>
    <row r="1" customFormat="false" ht="19.5" hidden="false" customHeight="true" outlineLevel="0" collapsed="false">
      <c r="A1" s="2" t="s">
        <v>0</v>
      </c>
    </row>
    <row r="2" customFormat="false" ht="12.75" hidden="false" customHeight="true" outlineLevel="0" collapsed="false">
      <c r="A2" s="3" t="s">
        <v>1</v>
      </c>
    </row>
    <row r="3" customFormat="false" ht="7.5" hidden="false" customHeight="true" outlineLevel="0" collapsed="false"/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13.5" hidden="false" customHeight="true" outlineLevel="0" collapsed="false">
      <c r="A5" s="5" t="s">
        <v>2</v>
      </c>
    </row>
    <row r="6" customFormat="false" ht="12.75" hidden="false" customHeight="true" outlineLevel="0" collapsed="false">
      <c r="A6" s="6" t="s">
        <v>3</v>
      </c>
      <c r="B6" s="7" t="s">
        <v>4</v>
      </c>
    </row>
    <row r="7" customFormat="false" ht="12.75" hidden="false" customHeight="true" outlineLevel="0" collapsed="false">
      <c r="A7" s="6" t="s">
        <v>5</v>
      </c>
      <c r="B7" s="7" t="s">
        <v>6</v>
      </c>
    </row>
    <row r="8" customFormat="false" ht="12.75" hidden="false" customHeight="true" outlineLevel="0" collapsed="false">
      <c r="A8" s="6" t="s">
        <v>7</v>
      </c>
      <c r="B8" s="7" t="s">
        <v>8</v>
      </c>
    </row>
    <row r="9" customFormat="false" ht="12.75" hidden="false" customHeight="true" outlineLevel="0" collapsed="false">
      <c r="A9" s="6" t="s">
        <v>9</v>
      </c>
      <c r="B9" s="7" t="s">
        <v>10</v>
      </c>
    </row>
    <row r="10" customFormat="false" ht="12.75" hidden="false" customHeight="true" outlineLevel="0" collapsed="false">
      <c r="A10" s="6" t="s">
        <v>11</v>
      </c>
      <c r="B10" s="7" t="s">
        <v>12</v>
      </c>
    </row>
    <row r="11" customFormat="false" ht="12.75" hidden="false" customHeight="true" outlineLevel="0" collapsed="false">
      <c r="A11" s="6" t="s">
        <v>13</v>
      </c>
      <c r="B11" s="7" t="s">
        <v>14</v>
      </c>
    </row>
    <row r="12" customFormat="false" ht="12.75" hidden="false" customHeight="true" outlineLevel="0" collapsed="false">
      <c r="A12" s="6" t="s">
        <v>15</v>
      </c>
      <c r="B12" s="7" t="s">
        <v>16</v>
      </c>
    </row>
    <row r="13" customFormat="false" ht="12.75" hidden="false" customHeight="true" outlineLevel="0" collapsed="false">
      <c r="A13" s="6" t="s">
        <v>17</v>
      </c>
      <c r="B13" s="7" t="s">
        <v>18</v>
      </c>
    </row>
    <row r="14" customFormat="false" ht="7.5" hidden="false" customHeight="true" outlineLevel="0" collapsed="false"/>
    <row r="15" customFormat="false" ht="3" hidden="false" customHeight="true" outlineLevel="0" collapsed="false">
      <c r="A15" s="4"/>
      <c r="B15" s="4"/>
      <c r="C15" s="4"/>
      <c r="D15" s="4"/>
      <c r="E15" s="4"/>
    </row>
    <row r="16" customFormat="false" ht="13.5" hidden="false" customHeight="true" outlineLevel="0" collapsed="false">
      <c r="A16" s="5" t="s">
        <v>19</v>
      </c>
    </row>
    <row r="17" customFormat="false" ht="12.75" hidden="false" customHeight="true" outlineLevel="0" collapsed="false">
      <c r="A17" s="6" t="s">
        <v>20</v>
      </c>
      <c r="B17" s="7" t="s">
        <v>21</v>
      </c>
    </row>
    <row r="18" customFormat="false" ht="12.75" hidden="false" customHeight="true" outlineLevel="0" collapsed="false">
      <c r="A18" s="6" t="s">
        <v>22</v>
      </c>
      <c r="B18" s="7" t="s">
        <v>23</v>
      </c>
    </row>
    <row r="19" customFormat="false" ht="12.75" hidden="false" customHeight="true" outlineLevel="0" collapsed="false">
      <c r="A19" s="6" t="s">
        <v>24</v>
      </c>
      <c r="B19" s="7" t="s">
        <v>25</v>
      </c>
    </row>
    <row r="20" customFormat="false" ht="12.75" hidden="false" customHeight="true" outlineLevel="0" collapsed="false">
      <c r="A20" s="6" t="s">
        <v>26</v>
      </c>
      <c r="B20" s="7" t="s">
        <v>27</v>
      </c>
    </row>
    <row r="21" customFormat="false" ht="12.75" hidden="false" customHeight="true" outlineLevel="0" collapsed="false">
      <c r="A21" s="6" t="s">
        <v>28</v>
      </c>
      <c r="B21" s="7" t="s">
        <v>29</v>
      </c>
    </row>
    <row r="22" customFormat="false" ht="12.75" hidden="false" customHeight="true" outlineLevel="0" collapsed="false">
      <c r="A22" s="6" t="s">
        <v>30</v>
      </c>
      <c r="B22" s="7" t="s">
        <v>31</v>
      </c>
    </row>
    <row r="23" customFormat="false" ht="12.75" hidden="false" customHeight="true" outlineLevel="0" collapsed="false">
      <c r="A23" s="6" t="s">
        <v>32</v>
      </c>
      <c r="B23" s="7" t="s">
        <v>33</v>
      </c>
    </row>
    <row r="25" customFormat="false" ht="7.5" hidden="false" customHeight="true" outlineLevel="0" collapsed="false"/>
    <row r="26" customFormat="false" ht="12.75" hidden="false" customHeight="true" outlineLevel="0" collapsed="false">
      <c r="A26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2"/>
  </cols>
  <sheetData>
    <row r="1" customFormat="false" ht="15.75" hidden="false" customHeight="true" outlineLevel="0" collapsed="false">
      <c r="A1" s="9" t="s">
        <v>35</v>
      </c>
    </row>
    <row r="2" customFormat="false" ht="12" hidden="false" customHeight="true" outlineLevel="0" collapsed="false">
      <c r="A2" s="10" t="s">
        <v>36</v>
      </c>
    </row>
    <row r="3" customFormat="false" ht="9.75" hidden="false" customHeight="true" outlineLevel="0" collapsed="false"/>
    <row r="4" customFormat="false" ht="15" hidden="false" customHeight="true" outlineLevel="0" collapsed="false">
      <c r="A4" s="11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</row>
    <row r="5" customFormat="false" ht="12.75" hidden="false" customHeight="true" outlineLevel="0" collapsed="false">
      <c r="A5" s="13" t="s">
        <v>47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2.75" hidden="false" customHeight="true" outlineLevel="0" collapsed="false">
      <c r="A6" s="14" t="s">
        <v>48</v>
      </c>
      <c r="B6" s="15" t="n">
        <v>6147</v>
      </c>
      <c r="C6" s="15" t="n">
        <v>8080</v>
      </c>
      <c r="D6" s="15" t="n">
        <v>9418</v>
      </c>
      <c r="E6" s="16" t="n">
        <f aca="false">D6*1.2</f>
        <v>11301.6</v>
      </c>
      <c r="F6" s="16" t="n">
        <f aca="false">E6*1.15</f>
        <v>12996.84</v>
      </c>
      <c r="G6" s="16" t="n">
        <f aca="false">F6*1.12</f>
        <v>14556.4608</v>
      </c>
      <c r="H6" s="16" t="n">
        <f aca="false">G6*1.1</f>
        <v>16012.10688</v>
      </c>
      <c r="I6" s="16" t="n">
        <f aca="false">H6*1.08</f>
        <v>17293.0754304</v>
      </c>
      <c r="J6" s="16" t="n">
        <f aca="false">I6*1.07</f>
        <v>18503.590710528</v>
      </c>
    </row>
    <row r="7" customFormat="false" ht="12.75" hidden="false" customHeight="true" outlineLevel="0" collapsed="false">
      <c r="A7" s="14" t="s">
        <v>49</v>
      </c>
      <c r="B7" s="15" t="n">
        <v>806</v>
      </c>
      <c r="C7" s="15" t="n">
        <v>2301</v>
      </c>
      <c r="D7" s="15" t="n">
        <v>5206</v>
      </c>
      <c r="E7" s="16" t="n">
        <f aca="false">D7*1.5</f>
        <v>7809</v>
      </c>
      <c r="F7" s="16" t="n">
        <f aca="false">E7*1.4</f>
        <v>10932.6</v>
      </c>
      <c r="G7" s="16" t="n">
        <f aca="false">F7*1.3</f>
        <v>14212.38</v>
      </c>
      <c r="H7" s="16" t="n">
        <f aca="false">G7*1.2</f>
        <v>17054.856</v>
      </c>
      <c r="I7" s="16" t="n">
        <f aca="false">H7*1.15</f>
        <v>19613.0844</v>
      </c>
      <c r="J7" s="16" t="n">
        <f aca="false">I7*1.12</f>
        <v>21966.654528</v>
      </c>
    </row>
    <row r="8" customFormat="false" ht="12.75" hidden="false" customHeight="true" outlineLevel="0" collapsed="false">
      <c r="A8" s="14" t="s">
        <v>50</v>
      </c>
      <c r="B8" s="15" t="n">
        <v>1506</v>
      </c>
      <c r="C8" s="15" t="n">
        <v>3172</v>
      </c>
      <c r="D8" s="15" t="n">
        <v>6196</v>
      </c>
      <c r="E8" s="16" t="n">
        <f aca="false">D8*1.6</f>
        <v>9913.6</v>
      </c>
      <c r="F8" s="16" t="n">
        <f aca="false">E8*1.4</f>
        <v>13879.04</v>
      </c>
      <c r="G8" s="16" t="n">
        <f aca="false">F8*1.3</f>
        <v>18042.752</v>
      </c>
      <c r="H8" s="16" t="n">
        <f aca="false">G8*1.2</f>
        <v>21651.3024</v>
      </c>
      <c r="I8" s="16" t="n">
        <f aca="false">H8*1.15</f>
        <v>24898.99776</v>
      </c>
      <c r="J8" s="16" t="n">
        <f aca="false">I8*1.1</f>
        <v>27388.897536</v>
      </c>
    </row>
    <row r="9" customFormat="false" ht="12.75" hidden="false" customHeight="true" outlineLevel="0" collapsed="false">
      <c r="A9" s="14" t="s">
        <v>51</v>
      </c>
      <c r="B9" s="15" t="n">
        <v>171</v>
      </c>
      <c r="C9" s="15" t="n">
        <v>258</v>
      </c>
      <c r="D9" s="15" t="n">
        <v>737</v>
      </c>
      <c r="E9" s="16" t="n">
        <f aca="false">D9*1.8</f>
        <v>1326.6</v>
      </c>
      <c r="F9" s="16" t="n">
        <f aca="false">E9*1.5</f>
        <v>1989.9</v>
      </c>
      <c r="G9" s="16" t="n">
        <f aca="false">F9*1.4</f>
        <v>2785.86</v>
      </c>
      <c r="H9" s="16" t="n">
        <f aca="false">G9*1.3</f>
        <v>3621.618</v>
      </c>
      <c r="I9" s="16" t="n">
        <f aca="false">H9*1.2</f>
        <v>4345.9416</v>
      </c>
      <c r="J9" s="16" t="n">
        <f aca="false">I9*1.15</f>
        <v>4997.83284</v>
      </c>
    </row>
    <row r="10" customFormat="false" ht="12.75" hidden="false" customHeight="true" outlineLevel="0" collapsed="false">
      <c r="A10" s="14" t="s">
        <v>52</v>
      </c>
      <c r="B10" s="15" t="n">
        <v>63</v>
      </c>
      <c r="C10" s="15" t="n">
        <v>22</v>
      </c>
      <c r="D10" s="15" t="n">
        <v>24</v>
      </c>
      <c r="E10" s="15" t="n">
        <v>30</v>
      </c>
      <c r="F10" s="15" t="n">
        <v>30</v>
      </c>
      <c r="G10" s="15" t="n">
        <v>30</v>
      </c>
      <c r="H10" s="15" t="n">
        <v>30</v>
      </c>
      <c r="I10" s="15" t="n">
        <v>30</v>
      </c>
      <c r="J10" s="15" t="n">
        <v>30</v>
      </c>
    </row>
    <row r="11" customFormat="false" ht="13.5" hidden="false" customHeight="true" outlineLevel="0" collapsed="false">
      <c r="A11" s="17" t="s">
        <v>53</v>
      </c>
      <c r="B11" s="18" t="n">
        <f aca="false">SUM(B6:B10)</f>
        <v>8693</v>
      </c>
      <c r="C11" s="18" t="n">
        <f aca="false">SUM(C6:C10)</f>
        <v>13833</v>
      </c>
      <c r="D11" s="18" t="n">
        <f aca="false">SUM(D6:D10)</f>
        <v>21581</v>
      </c>
      <c r="E11" s="18" t="n">
        <f aca="false">SUM(E6:E10)</f>
        <v>30380.8</v>
      </c>
      <c r="F11" s="18" t="n">
        <f aca="false">SUM(F6:F10)</f>
        <v>39828.38</v>
      </c>
      <c r="G11" s="18" t="n">
        <f aca="false">SUM(G6:G10)</f>
        <v>49627.4528</v>
      </c>
      <c r="H11" s="18" t="n">
        <f aca="false">SUM(H6:H10)</f>
        <v>58369.88328</v>
      </c>
      <c r="I11" s="18" t="n">
        <f aca="false">SUM(I6:I10)</f>
        <v>66181.0991904</v>
      </c>
      <c r="J11" s="18" t="n">
        <f aca="false">SUM(J6:J10)</f>
        <v>72886.975614528</v>
      </c>
    </row>
    <row r="12" customFormat="false" ht="12.75" hidden="false" customHeight="true" outlineLevel="0" collapsed="false">
      <c r="A12" s="14" t="s">
        <v>54</v>
      </c>
      <c r="B12" s="19" t="s">
        <v>55</v>
      </c>
      <c r="C12" s="19" t="n">
        <f aca="false">(C11-B11)/B11</f>
        <v>0.591280340503854</v>
      </c>
      <c r="D12" s="19" t="n">
        <f aca="false">(D11-C11)/C11</f>
        <v>0.560109882165835</v>
      </c>
      <c r="E12" s="19" t="n">
        <f aca="false">(E11-D11)/D11</f>
        <v>0.407756823131458</v>
      </c>
      <c r="F12" s="19" t="n">
        <f aca="false">(F11-E11)/E11</f>
        <v>0.310972061301875</v>
      </c>
      <c r="G12" s="19" t="n">
        <f aca="false">(G11-F11)/F11</f>
        <v>0.24603242210705</v>
      </c>
      <c r="H12" s="19" t="n">
        <f aca="false">(H11-G11)/G11</f>
        <v>0.176161176662285</v>
      </c>
      <c r="I12" s="19" t="n">
        <f aca="false">(I11-H11)/H11</f>
        <v>0.133822709100336</v>
      </c>
      <c r="J12" s="19" t="n">
        <f aca="false">(J11-I11)/I11</f>
        <v>0.101326156654418</v>
      </c>
    </row>
    <row r="13" customFormat="false" ht="3" hidden="false" customHeight="true" outlineLevel="0" collapsed="false"/>
    <row r="14" customFormat="false" ht="12.75" hidden="false" customHeight="true" outlineLevel="0" collapsed="false">
      <c r="A14" s="13" t="s">
        <v>56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2.75" hidden="false" customHeight="true" outlineLevel="0" collapsed="false">
      <c r="A15" s="14" t="s">
        <v>57</v>
      </c>
      <c r="B15" s="20" t="n">
        <v>0.261</v>
      </c>
      <c r="C15" s="20" t="n">
        <v>0.262</v>
      </c>
      <c r="D15" s="20" t="n">
        <v>0.294</v>
      </c>
      <c r="E15" s="20" t="n">
        <v>0.32</v>
      </c>
      <c r="F15" s="20" t="n">
        <v>0.35</v>
      </c>
      <c r="G15" s="20" t="n">
        <v>0.38</v>
      </c>
      <c r="H15" s="20" t="n">
        <v>0.4</v>
      </c>
      <c r="I15" s="20" t="n">
        <v>0.42</v>
      </c>
      <c r="J15" s="20" t="n">
        <v>0.44</v>
      </c>
    </row>
    <row r="16" customFormat="false" ht="12.75" hidden="false" customHeight="true" outlineLevel="0" collapsed="false">
      <c r="A16" s="14" t="s">
        <v>58</v>
      </c>
      <c r="B16" s="20" t="n">
        <v>-0.171</v>
      </c>
      <c r="C16" s="20" t="n">
        <v>0.004</v>
      </c>
      <c r="D16" s="20" t="n">
        <v>0.032</v>
      </c>
      <c r="E16" s="20" t="n">
        <v>0.05</v>
      </c>
      <c r="F16" s="20" t="n">
        <v>0.08</v>
      </c>
      <c r="G16" s="20" t="n">
        <v>0.11</v>
      </c>
      <c r="H16" s="20" t="n">
        <v>0.13</v>
      </c>
      <c r="I16" s="20" t="n">
        <v>0.15</v>
      </c>
      <c r="J16" s="20" t="n">
        <v>0.16</v>
      </c>
    </row>
    <row r="17" customFormat="false" ht="12.75" hidden="false" customHeight="true" outlineLevel="0" collapsed="false">
      <c r="A17" s="14" t="s">
        <v>59</v>
      </c>
      <c r="B17" s="20" t="n">
        <v>0.062</v>
      </c>
      <c r="C17" s="20" t="n">
        <v>0.043</v>
      </c>
      <c r="D17" s="20" t="n">
        <v>0.043</v>
      </c>
      <c r="E17" s="20" t="n">
        <v>0.042</v>
      </c>
      <c r="F17" s="20" t="n">
        <v>0.04</v>
      </c>
      <c r="G17" s="20" t="n">
        <v>0.038</v>
      </c>
      <c r="H17" s="20" t="n">
        <v>0.036</v>
      </c>
      <c r="I17" s="20" t="n">
        <v>0.034</v>
      </c>
      <c r="J17" s="20" t="n">
        <v>0.032</v>
      </c>
    </row>
    <row r="18" customFormat="false" ht="12.75" hidden="false" customHeight="true" outlineLevel="0" collapsed="false">
      <c r="A18" s="14" t="s">
        <v>60</v>
      </c>
      <c r="B18" s="20" t="n">
        <v>0.04</v>
      </c>
      <c r="C18" s="20" t="n">
        <v>-0.21</v>
      </c>
      <c r="D18" s="20" t="n">
        <v>0.24</v>
      </c>
      <c r="E18" s="20" t="n">
        <v>0.35</v>
      </c>
      <c r="F18" s="20" t="n">
        <v>0.35</v>
      </c>
      <c r="G18" s="20" t="n">
        <v>0.35</v>
      </c>
      <c r="H18" s="20" t="n">
        <v>0.25</v>
      </c>
      <c r="I18" s="20" t="n">
        <v>0.25</v>
      </c>
      <c r="J18" s="20" t="n">
        <v>0.25</v>
      </c>
    </row>
    <row r="19" customFormat="false" ht="3" hidden="false" customHeight="true" outlineLevel="0" collapsed="false"/>
    <row r="20" customFormat="false" ht="12.75" hidden="false" customHeight="true" outlineLevel="0" collapsed="false">
      <c r="A20" s="13" t="s">
        <v>61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2.75" hidden="false" customHeight="true" outlineLevel="0" collapsed="false">
      <c r="A21" s="14" t="s">
        <v>62</v>
      </c>
      <c r="B21" s="20" t="n">
        <v>0.012</v>
      </c>
      <c r="C21" s="20" t="n">
        <v>0.018</v>
      </c>
      <c r="D21" s="20" t="n">
        <v>0.046</v>
      </c>
      <c r="E21" s="20" t="n">
        <v>0.055</v>
      </c>
      <c r="F21" s="20" t="n">
        <v>0.06</v>
      </c>
      <c r="G21" s="20" t="n">
        <v>0.055</v>
      </c>
      <c r="H21" s="20" t="n">
        <v>0.05</v>
      </c>
      <c r="I21" s="20" t="n">
        <v>0.045</v>
      </c>
      <c r="J21" s="20" t="n">
        <v>0.04</v>
      </c>
    </row>
    <row r="22" customFormat="false" ht="12.75" hidden="false" customHeight="true" outlineLevel="0" collapsed="false">
      <c r="A22" s="14" t="s">
        <v>63</v>
      </c>
      <c r="B22" s="20" t="s">
        <v>55</v>
      </c>
      <c r="C22" s="20" t="s">
        <v>55</v>
      </c>
      <c r="D22" s="20" t="s">
        <v>55</v>
      </c>
      <c r="E22" s="20" t="n">
        <v>-0.03</v>
      </c>
      <c r="F22" s="20" t="n">
        <v>-0.03</v>
      </c>
      <c r="G22" s="20" t="n">
        <v>-0.03</v>
      </c>
      <c r="H22" s="20" t="n">
        <v>-0.02</v>
      </c>
      <c r="I22" s="20" t="n">
        <v>-0.02</v>
      </c>
      <c r="J22" s="20" t="n">
        <v>-0.02</v>
      </c>
    </row>
    <row r="23" customFormat="false" ht="12.75" hidden="false" customHeight="true" outlineLevel="0" collapsed="false">
      <c r="A23" s="14" t="s">
        <v>64</v>
      </c>
      <c r="B23" s="15" t="n">
        <v>682</v>
      </c>
      <c r="C23" s="15" t="n">
        <v>846</v>
      </c>
      <c r="D23" s="15" t="n">
        <v>1077</v>
      </c>
      <c r="E23" s="15" t="n">
        <v>1200</v>
      </c>
      <c r="F23" s="15" t="n">
        <v>1300</v>
      </c>
      <c r="G23" s="15" t="n">
        <v>1400</v>
      </c>
      <c r="H23" s="15" t="n">
        <v>1500</v>
      </c>
      <c r="I23" s="15" t="n">
        <v>1600</v>
      </c>
      <c r="J23" s="15" t="n">
        <v>1700</v>
      </c>
    </row>
    <row r="24" customFormat="false" ht="12.75" hidden="false" customHeight="true" outlineLevel="0" collapsed="false">
      <c r="A24" s="14" t="s">
        <v>65</v>
      </c>
      <c r="B24" s="15" t="n">
        <v>49</v>
      </c>
      <c r="C24" s="15" t="n">
        <v>72</v>
      </c>
      <c r="D24" s="15" t="n">
        <v>154</v>
      </c>
      <c r="E24" s="15" t="n">
        <v>300</v>
      </c>
      <c r="F24" s="15" t="n">
        <v>350</v>
      </c>
      <c r="G24" s="15" t="n">
        <v>380</v>
      </c>
      <c r="H24" s="15" t="n">
        <v>400</v>
      </c>
      <c r="I24" s="15" t="n">
        <v>420</v>
      </c>
      <c r="J24" s="15" t="n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2"/>
  </cols>
  <sheetData>
    <row r="1" customFormat="false" ht="15.75" hidden="false" customHeight="true" outlineLevel="0" collapsed="false">
      <c r="A1" s="9" t="s">
        <v>66</v>
      </c>
    </row>
    <row r="2" customFormat="false" ht="12" hidden="false" customHeight="true" outlineLevel="0" collapsed="false">
      <c r="A2" s="10" t="s">
        <v>67</v>
      </c>
    </row>
    <row r="3" customFormat="false" ht="9.75" hidden="false" customHeight="true" outlineLevel="0" collapsed="false"/>
    <row r="4" customFormat="false" ht="15" hidden="false" customHeight="true" outlineLevel="0" collapsed="false">
      <c r="A4" s="11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</row>
    <row r="5" customFormat="false" ht="12.75" hidden="false" customHeight="true" outlineLevel="0" collapsed="false">
      <c r="A5" s="13" t="s">
        <v>68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2.75" hidden="false" customHeight="true" outlineLevel="0" collapsed="false">
      <c r="A6" s="14" t="s">
        <v>48</v>
      </c>
      <c r="B6" s="21" t="n">
        <f aca="false">Assumptions!B6</f>
        <v>6147</v>
      </c>
      <c r="C6" s="21" t="n">
        <f aca="false">Assumptions!C6</f>
        <v>8080</v>
      </c>
      <c r="D6" s="21" t="n">
        <f aca="false">Assumptions!D6</f>
        <v>9418</v>
      </c>
      <c r="E6" s="21" t="n">
        <f aca="false">Assumptions!E6</f>
        <v>11301.6</v>
      </c>
      <c r="F6" s="21" t="n">
        <f aca="false">Assumptions!F6</f>
        <v>12996.84</v>
      </c>
      <c r="G6" s="21" t="n">
        <f aca="false">Assumptions!G6</f>
        <v>14556.4608</v>
      </c>
      <c r="H6" s="21" t="n">
        <f aca="false">Assumptions!H6</f>
        <v>16012.10688</v>
      </c>
      <c r="I6" s="21" t="n">
        <f aca="false">Assumptions!I6</f>
        <v>17293.0754304</v>
      </c>
      <c r="J6" s="21" t="n">
        <f aca="false">Assumptions!J6</f>
        <v>18503.590710528</v>
      </c>
    </row>
    <row r="7" customFormat="false" ht="12.75" hidden="false" customHeight="true" outlineLevel="0" collapsed="false">
      <c r="A7" s="14" t="s">
        <v>49</v>
      </c>
      <c r="B7" s="21" t="n">
        <f aca="false">Assumptions!B7</f>
        <v>806</v>
      </c>
      <c r="C7" s="21" t="n">
        <f aca="false">Assumptions!C7</f>
        <v>2301</v>
      </c>
      <c r="D7" s="21" t="n">
        <f aca="false">Assumptions!D7</f>
        <v>5206</v>
      </c>
      <c r="E7" s="21" t="n">
        <f aca="false">Assumptions!E7</f>
        <v>7809</v>
      </c>
      <c r="F7" s="21" t="n">
        <f aca="false">Assumptions!F7</f>
        <v>10932.6</v>
      </c>
      <c r="G7" s="21" t="n">
        <f aca="false">Assumptions!G7</f>
        <v>14212.38</v>
      </c>
      <c r="H7" s="21" t="n">
        <f aca="false">Assumptions!H7</f>
        <v>17054.856</v>
      </c>
      <c r="I7" s="21" t="n">
        <f aca="false">Assumptions!I7</f>
        <v>19613.0844</v>
      </c>
      <c r="J7" s="21" t="n">
        <f aca="false">Assumptions!J7</f>
        <v>21966.654528</v>
      </c>
    </row>
    <row r="8" customFormat="false" ht="12.75" hidden="false" customHeight="true" outlineLevel="0" collapsed="false">
      <c r="A8" s="14" t="s">
        <v>50</v>
      </c>
      <c r="B8" s="21" t="n">
        <f aca="false">Assumptions!B8</f>
        <v>1506</v>
      </c>
      <c r="C8" s="21" t="n">
        <f aca="false">Assumptions!C8</f>
        <v>3172</v>
      </c>
      <c r="D8" s="21" t="n">
        <f aca="false">Assumptions!D8</f>
        <v>6196</v>
      </c>
      <c r="E8" s="21" t="n">
        <f aca="false">Assumptions!E8</f>
        <v>9913.6</v>
      </c>
      <c r="F8" s="21" t="n">
        <f aca="false">Assumptions!F8</f>
        <v>13879.04</v>
      </c>
      <c r="G8" s="21" t="n">
        <f aca="false">Assumptions!G8</f>
        <v>18042.752</v>
      </c>
      <c r="H8" s="21" t="n">
        <f aca="false">Assumptions!H8</f>
        <v>21651.3024</v>
      </c>
      <c r="I8" s="21" t="n">
        <f aca="false">Assumptions!I8</f>
        <v>24898.99776</v>
      </c>
      <c r="J8" s="21" t="n">
        <f aca="false">Assumptions!J8</f>
        <v>27388.897536</v>
      </c>
    </row>
    <row r="9" customFormat="false" ht="12.75" hidden="false" customHeight="true" outlineLevel="0" collapsed="false">
      <c r="A9" s="14" t="s">
        <v>51</v>
      </c>
      <c r="B9" s="21" t="n">
        <f aca="false">Assumptions!B9</f>
        <v>171</v>
      </c>
      <c r="C9" s="21" t="n">
        <f aca="false">Assumptions!C9</f>
        <v>258</v>
      </c>
      <c r="D9" s="21" t="n">
        <f aca="false">Assumptions!D9</f>
        <v>737</v>
      </c>
      <c r="E9" s="21" t="n">
        <f aca="false">Assumptions!E9</f>
        <v>1326.6</v>
      </c>
      <c r="F9" s="21" t="n">
        <f aca="false">Assumptions!F9</f>
        <v>1989.9</v>
      </c>
      <c r="G9" s="21" t="n">
        <f aca="false">Assumptions!G9</f>
        <v>2785.86</v>
      </c>
      <c r="H9" s="21" t="n">
        <f aca="false">Assumptions!H9</f>
        <v>3621.618</v>
      </c>
      <c r="I9" s="21" t="n">
        <f aca="false">Assumptions!I9</f>
        <v>4345.9416</v>
      </c>
      <c r="J9" s="21" t="n">
        <f aca="false">Assumptions!J9</f>
        <v>4997.83284</v>
      </c>
    </row>
    <row r="10" customFormat="false" ht="12.75" hidden="false" customHeight="true" outlineLevel="0" collapsed="false">
      <c r="A10" s="14" t="s">
        <v>52</v>
      </c>
      <c r="B10" s="21" t="n">
        <f aca="false">Assumptions!B10</f>
        <v>63</v>
      </c>
      <c r="C10" s="21" t="n">
        <f aca="false">Assumptions!C10</f>
        <v>22</v>
      </c>
      <c r="D10" s="21" t="n">
        <f aca="false">Assumptions!D10</f>
        <v>24</v>
      </c>
      <c r="E10" s="21" t="n">
        <f aca="false">Assumptions!E10</f>
        <v>30</v>
      </c>
      <c r="F10" s="21" t="n">
        <f aca="false">Assumptions!F10</f>
        <v>30</v>
      </c>
      <c r="G10" s="21" t="n">
        <f aca="false">Assumptions!G10</f>
        <v>30</v>
      </c>
      <c r="H10" s="21" t="n">
        <f aca="false">Assumptions!H10</f>
        <v>30</v>
      </c>
      <c r="I10" s="21" t="n">
        <f aca="false">Assumptions!I10</f>
        <v>30</v>
      </c>
      <c r="J10" s="21" t="n">
        <f aca="false">Assumptions!J10</f>
        <v>30</v>
      </c>
    </row>
    <row r="11" customFormat="false" ht="13.5" hidden="false" customHeight="true" outlineLevel="0" collapsed="false">
      <c r="A11" s="17" t="s">
        <v>53</v>
      </c>
      <c r="B11" s="22" t="n">
        <f aca="false">SUM(B6:B10)</f>
        <v>8693</v>
      </c>
      <c r="C11" s="22" t="n">
        <f aca="false">SUM(C6:C10)</f>
        <v>13833</v>
      </c>
      <c r="D11" s="22" t="n">
        <f aca="false">SUM(D6:D10)</f>
        <v>21581</v>
      </c>
      <c r="E11" s="22" t="n">
        <f aca="false">SUM(E6:E10)</f>
        <v>30380.8</v>
      </c>
      <c r="F11" s="22" t="n">
        <f aca="false">SUM(F6:F10)</f>
        <v>39828.38</v>
      </c>
      <c r="G11" s="22" t="n">
        <f aca="false">SUM(G6:G10)</f>
        <v>49627.4528</v>
      </c>
      <c r="H11" s="22" t="n">
        <f aca="false">SUM(H6:H10)</f>
        <v>58369.88328</v>
      </c>
      <c r="I11" s="22" t="n">
        <f aca="false">SUM(I6:I10)</f>
        <v>66181.0991904</v>
      </c>
      <c r="J11" s="22" t="n">
        <f aca="false">SUM(J6:J10)</f>
        <v>72886.975614528</v>
      </c>
    </row>
    <row r="12" customFormat="false" ht="12.75" hidden="false" customHeight="true" outlineLevel="0" collapsed="false">
      <c r="A12" s="14" t="s">
        <v>69</v>
      </c>
      <c r="B12" s="19" t="s">
        <v>55</v>
      </c>
      <c r="C12" s="19" t="n">
        <f aca="false">(C11-B11)/B11</f>
        <v>0.591280340503854</v>
      </c>
      <c r="D12" s="19" t="n">
        <f aca="false">(D11-C11)/C11</f>
        <v>0.560109882165835</v>
      </c>
      <c r="E12" s="19" t="n">
        <f aca="false">(E11-D11)/D11</f>
        <v>0.407756823131458</v>
      </c>
      <c r="F12" s="19" t="n">
        <f aca="false">(F11-E11)/E11</f>
        <v>0.310972061301875</v>
      </c>
      <c r="G12" s="19" t="n">
        <f aca="false">(G11-F11)/F11</f>
        <v>0.24603242210705</v>
      </c>
      <c r="H12" s="19" t="n">
        <f aca="false">(H11-G11)/G11</f>
        <v>0.176161176662285</v>
      </c>
      <c r="I12" s="19" t="n">
        <f aca="false">(I11-H11)/H11</f>
        <v>0.133822709100336</v>
      </c>
      <c r="J12" s="19" t="n">
        <f aca="false">(J11-I11)/I11</f>
        <v>0.101326156654418</v>
      </c>
    </row>
    <row r="13" customFormat="false" ht="3" hidden="false" customHeight="true" outlineLevel="0" collapsed="false"/>
    <row r="14" customFormat="false" ht="12.75" hidden="false" customHeight="true" outlineLevel="0" collapsed="false">
      <c r="A14" s="13" t="s">
        <v>70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2.75" hidden="false" customHeight="true" outlineLevel="0" collapsed="false">
      <c r="A15" s="14" t="s">
        <v>71</v>
      </c>
      <c r="B15" s="16" t="n">
        <f aca="false">-B11*(1-Assumptions!B15)</f>
        <v>-6424.127</v>
      </c>
      <c r="C15" s="16" t="n">
        <f aca="false">-C11*(1-Assumptions!C15)</f>
        <v>-10208.754</v>
      </c>
      <c r="D15" s="16" t="n">
        <f aca="false">-D11*(1-Assumptions!D15)</f>
        <v>-15236.186</v>
      </c>
      <c r="E15" s="16" t="n">
        <f aca="false">-E11*(1-Assumptions!E15)</f>
        <v>-20658.944</v>
      </c>
      <c r="F15" s="16" t="n">
        <f aca="false">-F11*(1-Assumptions!F15)</f>
        <v>-25888.447</v>
      </c>
      <c r="G15" s="16" t="n">
        <f aca="false">-G11*(1-Assumptions!G15)</f>
        <v>-30769.020736</v>
      </c>
      <c r="H15" s="16" t="n">
        <f aca="false">-H11*(1-Assumptions!H15)</f>
        <v>-35021.929968</v>
      </c>
      <c r="I15" s="16" t="n">
        <f aca="false">-I11*(1-Assumptions!I15)</f>
        <v>-38385.037530432</v>
      </c>
      <c r="J15" s="16" t="n">
        <f aca="false">-J11*(1-Assumptions!J15)</f>
        <v>-40816.7063441357</v>
      </c>
    </row>
    <row r="16" customFormat="false" ht="13.5" hidden="false" customHeight="true" outlineLevel="0" collapsed="false">
      <c r="A16" s="23" t="s">
        <v>72</v>
      </c>
      <c r="B16" s="24" t="n">
        <f aca="false">B11+B15</f>
        <v>2268.873</v>
      </c>
      <c r="C16" s="24" t="n">
        <f aca="false">C11+C15</f>
        <v>3624.246</v>
      </c>
      <c r="D16" s="24" t="n">
        <f aca="false">D11+D15</f>
        <v>6344.814</v>
      </c>
      <c r="E16" s="24" t="n">
        <f aca="false">E11+E15</f>
        <v>9721.856</v>
      </c>
      <c r="F16" s="24" t="n">
        <f aca="false">F11+F15</f>
        <v>13939.933</v>
      </c>
      <c r="G16" s="24" t="n">
        <f aca="false">G11+G15</f>
        <v>18858.432064</v>
      </c>
      <c r="H16" s="24" t="n">
        <f aca="false">H11+H15</f>
        <v>23347.953312</v>
      </c>
      <c r="I16" s="24" t="n">
        <f aca="false">I11+I15</f>
        <v>27796.061659968</v>
      </c>
      <c r="J16" s="24" t="n">
        <f aca="false">J11+J15</f>
        <v>32070.2692703923</v>
      </c>
    </row>
    <row r="17" customFormat="false" ht="12.75" hidden="false" customHeight="true" outlineLevel="0" collapsed="false">
      <c r="A17" s="14" t="s">
        <v>73</v>
      </c>
      <c r="B17" s="19" t="n">
        <f aca="false">IFERROR(B16/B11,0)</f>
        <v>0.261</v>
      </c>
      <c r="C17" s="19" t="n">
        <f aca="false">IFERROR(C16/C11,0)</f>
        <v>0.262</v>
      </c>
      <c r="D17" s="19" t="n">
        <f aca="false">IFERROR(D16/D11,0)</f>
        <v>0.294</v>
      </c>
      <c r="E17" s="19" t="n">
        <f aca="false">IFERROR(E16/E11,0)</f>
        <v>0.32</v>
      </c>
      <c r="F17" s="19" t="n">
        <f aca="false">IFERROR(F16/F11,0)</f>
        <v>0.35</v>
      </c>
      <c r="G17" s="19" t="n">
        <f aca="false">IFERROR(G16/G11,0)</f>
        <v>0.38</v>
      </c>
      <c r="H17" s="19" t="n">
        <f aca="false">IFERROR(H16/H11,0)</f>
        <v>0.4</v>
      </c>
      <c r="I17" s="19" t="n">
        <f aca="false">IFERROR(I16/I11,0)</f>
        <v>0.42</v>
      </c>
      <c r="J17" s="19" t="n">
        <f aca="false">IFERROR(J16/J11,0)</f>
        <v>0.44</v>
      </c>
    </row>
    <row r="18" customFormat="false" ht="3" hidden="false" customHeight="true" outlineLevel="0" collapsed="false"/>
    <row r="19" customFormat="false" ht="12.75" hidden="false" customHeight="true" outlineLevel="0" collapsed="false">
      <c r="A19" s="13" t="s">
        <v>74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3.5" hidden="false" customHeight="true" outlineLevel="0" collapsed="false">
      <c r="A20" s="23" t="s">
        <v>75</v>
      </c>
      <c r="B20" s="24" t="n">
        <f aca="false">B11*Assumptions!B16</f>
        <v>-1486.503</v>
      </c>
      <c r="C20" s="24" t="n">
        <f aca="false">C11*Assumptions!C16</f>
        <v>55.332</v>
      </c>
      <c r="D20" s="24" t="n">
        <f aca="false">D11*Assumptions!D16</f>
        <v>690.592</v>
      </c>
      <c r="E20" s="24" t="n">
        <f aca="false">E11*Assumptions!E16</f>
        <v>1519.04</v>
      </c>
      <c r="F20" s="24" t="n">
        <f aca="false">F11*Assumptions!F16</f>
        <v>3186.2704</v>
      </c>
      <c r="G20" s="24" t="n">
        <f aca="false">G11*Assumptions!G16</f>
        <v>5459.019808</v>
      </c>
      <c r="H20" s="24" t="n">
        <f aca="false">H11*Assumptions!H16</f>
        <v>7588.0848264</v>
      </c>
      <c r="I20" s="24" t="n">
        <f aca="false">I11*Assumptions!I16</f>
        <v>9927.16487856</v>
      </c>
      <c r="J20" s="24" t="n">
        <f aca="false">J11*Assumptions!J16</f>
        <v>11661.9160983245</v>
      </c>
    </row>
    <row r="21" customFormat="false" ht="12.75" hidden="false" customHeight="true" outlineLevel="0" collapsed="false">
      <c r="A21" s="14" t="s">
        <v>76</v>
      </c>
      <c r="B21" s="19" t="n">
        <f aca="false">Assumptions!B16</f>
        <v>-0.171</v>
      </c>
      <c r="C21" s="19" t="n">
        <f aca="false">Assumptions!C16</f>
        <v>0.004</v>
      </c>
      <c r="D21" s="19" t="n">
        <f aca="false">Assumptions!D16</f>
        <v>0.032</v>
      </c>
      <c r="E21" s="19" t="n">
        <f aca="false">Assumptions!E16</f>
        <v>0.05</v>
      </c>
      <c r="F21" s="19" t="n">
        <f aca="false">Assumptions!F16</f>
        <v>0.08</v>
      </c>
      <c r="G21" s="19" t="n">
        <f aca="false">Assumptions!G16</f>
        <v>0.11</v>
      </c>
      <c r="H21" s="19" t="n">
        <f aca="false">Assumptions!H16</f>
        <v>0.13</v>
      </c>
      <c r="I21" s="19" t="n">
        <f aca="false">Assumptions!I16</f>
        <v>0.15</v>
      </c>
      <c r="J21" s="19" t="n">
        <f aca="false">Assumptions!J16</f>
        <v>0.16</v>
      </c>
    </row>
    <row r="22" customFormat="false" ht="12.75" hidden="false" customHeight="true" outlineLevel="0" collapsed="false">
      <c r="A22" s="14" t="s">
        <v>77</v>
      </c>
      <c r="B22" s="15" t="n">
        <v>-437</v>
      </c>
      <c r="C22" s="15" t="n">
        <v>-526</v>
      </c>
      <c r="D22" s="15" t="n">
        <v>-863</v>
      </c>
      <c r="E22" s="16" t="n">
        <f aca="false">-E11*Assumptions!E17</f>
        <v>-1275.9936</v>
      </c>
      <c r="F22" s="16" t="n">
        <f aca="false">-F11*Assumptions!F17</f>
        <v>-1593.1352</v>
      </c>
      <c r="G22" s="16" t="n">
        <f aca="false">-G11*Assumptions!G17</f>
        <v>-1885.8432064</v>
      </c>
      <c r="H22" s="16" t="n">
        <f aca="false">-H11*Assumptions!H17</f>
        <v>-2101.31579808</v>
      </c>
      <c r="I22" s="16" t="n">
        <f aca="false">-I11*Assumptions!I17</f>
        <v>-2250.1573724736</v>
      </c>
      <c r="J22" s="16" t="n">
        <f aca="false">-J11*Assumptions!J17</f>
        <v>-2332.3832196649</v>
      </c>
    </row>
    <row r="23" customFormat="false" ht="13.5" hidden="false" customHeight="true" outlineLevel="0" collapsed="false">
      <c r="A23" s="23" t="s">
        <v>78</v>
      </c>
      <c r="B23" s="24" t="n">
        <f aca="false">B20+B22</f>
        <v>-1923.503</v>
      </c>
      <c r="C23" s="24" t="n">
        <f aca="false">C20+C22</f>
        <v>-470.668</v>
      </c>
      <c r="D23" s="24" t="n">
        <f aca="false">D20+D22</f>
        <v>-172.408</v>
      </c>
      <c r="E23" s="24" t="n">
        <f aca="false">E20+E22</f>
        <v>243.0464</v>
      </c>
      <c r="F23" s="24" t="n">
        <f aca="false">F20+F22</f>
        <v>1593.1352</v>
      </c>
      <c r="G23" s="24" t="n">
        <f aca="false">G20+G22</f>
        <v>3573.1766016</v>
      </c>
      <c r="H23" s="24" t="n">
        <f aca="false">H20+H22</f>
        <v>5486.76902832</v>
      </c>
      <c r="I23" s="24" t="n">
        <f aca="false">I20+I22</f>
        <v>7677.0075060864</v>
      </c>
      <c r="J23" s="24" t="n">
        <f aca="false">J20+J22</f>
        <v>9329.53287865959</v>
      </c>
    </row>
    <row r="24" customFormat="false" ht="3" hidden="false" customHeight="true" outlineLevel="0" collapsed="false"/>
    <row r="25" customFormat="false" ht="12.75" hidden="false" customHeight="true" outlineLevel="0" collapsed="false">
      <c r="A25" s="13" t="s">
        <v>79</v>
      </c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2.75" hidden="false" customHeight="true" outlineLevel="0" collapsed="false">
      <c r="A26" s="14" t="s">
        <v>80</v>
      </c>
      <c r="B26" s="21" t="n">
        <f aca="false">Assumptions!B23</f>
        <v>682</v>
      </c>
      <c r="C26" s="21" t="n">
        <f aca="false">Assumptions!C23</f>
        <v>846</v>
      </c>
      <c r="D26" s="21" t="n">
        <f aca="false">Assumptions!D23</f>
        <v>1077</v>
      </c>
      <c r="E26" s="21" t="n">
        <f aca="false">Assumptions!E23</f>
        <v>1200</v>
      </c>
      <c r="F26" s="21" t="n">
        <f aca="false">Assumptions!F23</f>
        <v>1300</v>
      </c>
      <c r="G26" s="21" t="n">
        <f aca="false">Assumptions!G23</f>
        <v>1400</v>
      </c>
      <c r="H26" s="21" t="n">
        <f aca="false">Assumptions!H23</f>
        <v>1500</v>
      </c>
      <c r="I26" s="21" t="n">
        <f aca="false">Assumptions!I23</f>
        <v>1600</v>
      </c>
      <c r="J26" s="21" t="n">
        <f aca="false">Assumptions!J23</f>
        <v>1700</v>
      </c>
    </row>
    <row r="27" customFormat="false" ht="12.75" hidden="false" customHeight="true" outlineLevel="0" collapsed="false">
      <c r="A27" s="14" t="s">
        <v>81</v>
      </c>
      <c r="B27" s="21" t="n">
        <f aca="false">-Assumptions!B24</f>
        <v>-49</v>
      </c>
      <c r="C27" s="21" t="n">
        <f aca="false">-Assumptions!C24</f>
        <v>-72</v>
      </c>
      <c r="D27" s="21" t="n">
        <f aca="false">-Assumptions!D24</f>
        <v>-154</v>
      </c>
      <c r="E27" s="21" t="n">
        <f aca="false">-Assumptions!E24</f>
        <v>-300</v>
      </c>
      <c r="F27" s="21" t="n">
        <f aca="false">-Assumptions!F24</f>
        <v>-350</v>
      </c>
      <c r="G27" s="21" t="n">
        <f aca="false">-Assumptions!G24</f>
        <v>-380</v>
      </c>
      <c r="H27" s="21" t="n">
        <f aca="false">-Assumptions!H24</f>
        <v>-400</v>
      </c>
      <c r="I27" s="21" t="n">
        <f aca="false">-Assumptions!I24</f>
        <v>-420</v>
      </c>
      <c r="J27" s="21" t="n">
        <f aca="false">-Assumptions!J24</f>
        <v>-440</v>
      </c>
    </row>
    <row r="28" customFormat="false" ht="13.5" hidden="false" customHeight="true" outlineLevel="0" collapsed="false">
      <c r="A28" s="23" t="s">
        <v>82</v>
      </c>
      <c r="B28" s="24" t="n">
        <f aca="false">B23+B26+B27</f>
        <v>-1290.503</v>
      </c>
      <c r="C28" s="24" t="n">
        <f aca="false">C23+C26+C27</f>
        <v>303.332</v>
      </c>
      <c r="D28" s="24" t="n">
        <f aca="false">D23+D26+D27</f>
        <v>750.592</v>
      </c>
      <c r="E28" s="24" t="n">
        <f aca="false">E23+E26+E27</f>
        <v>1143.0464</v>
      </c>
      <c r="F28" s="24" t="n">
        <f aca="false">F23+F26+F27</f>
        <v>2543.1352</v>
      </c>
      <c r="G28" s="24" t="n">
        <f aca="false">G23+G26+G27</f>
        <v>4593.1766016</v>
      </c>
      <c r="H28" s="24" t="n">
        <f aca="false">H23+H26+H27</f>
        <v>6586.76902832</v>
      </c>
      <c r="I28" s="24" t="n">
        <f aca="false">I23+I26+I27</f>
        <v>8857.0075060864</v>
      </c>
      <c r="J28" s="24" t="n">
        <f aca="false">J23+J26+J27</f>
        <v>10589.5328786596</v>
      </c>
    </row>
    <row r="29" customFormat="false" ht="12.75" hidden="false" customHeight="true" outlineLevel="0" collapsed="false">
      <c r="A29" s="14" t="s">
        <v>83</v>
      </c>
      <c r="B29" s="16" t="n">
        <f aca="false">-MAX(0,B28*Assumptions!B18)</f>
        <v>-0</v>
      </c>
      <c r="C29" s="16" t="n">
        <f aca="false">-MAX(0,C28*Assumptions!C18)</f>
        <v>-0</v>
      </c>
      <c r="D29" s="16" t="n">
        <f aca="false">-MAX(0,D28*Assumptions!D18)</f>
        <v>-180.14208</v>
      </c>
      <c r="E29" s="16" t="n">
        <f aca="false">-MAX(0,E28*Assumptions!E18)</f>
        <v>-400.06624</v>
      </c>
      <c r="F29" s="16" t="n">
        <f aca="false">-MAX(0,F28*Assumptions!F18)</f>
        <v>-890.09732</v>
      </c>
      <c r="G29" s="16" t="n">
        <f aca="false">-MAX(0,G28*Assumptions!G18)</f>
        <v>-1607.61181056</v>
      </c>
      <c r="H29" s="16" t="n">
        <f aca="false">-MAX(0,H28*Assumptions!H18)</f>
        <v>-1646.69225708</v>
      </c>
      <c r="I29" s="16" t="n">
        <f aca="false">-MAX(0,I28*Assumptions!I18)</f>
        <v>-2214.2518765216</v>
      </c>
      <c r="J29" s="16" t="n">
        <f aca="false">-MAX(0,J28*Assumptions!J18)</f>
        <v>-2647.3832196649</v>
      </c>
    </row>
    <row r="30" customFormat="false" ht="13.5" hidden="false" customHeight="true" outlineLevel="0" collapsed="false">
      <c r="A30" s="25" t="s">
        <v>84</v>
      </c>
      <c r="B30" s="26" t="n">
        <f aca="false">B28+B29</f>
        <v>-1290.503</v>
      </c>
      <c r="C30" s="26" t="n">
        <f aca="false">C28+C29</f>
        <v>303.332</v>
      </c>
      <c r="D30" s="26" t="n">
        <f aca="false">D28+D29</f>
        <v>570.44992</v>
      </c>
      <c r="E30" s="26" t="n">
        <f aca="false">E28+E29</f>
        <v>742.98016</v>
      </c>
      <c r="F30" s="26" t="n">
        <f aca="false">F28+F29</f>
        <v>1653.03788</v>
      </c>
      <c r="G30" s="26" t="n">
        <f aca="false">G28+G29</f>
        <v>2985.56479104</v>
      </c>
      <c r="H30" s="26" t="n">
        <f aca="false">H28+H29</f>
        <v>4940.07677124</v>
      </c>
      <c r="I30" s="26" t="n">
        <f aca="false">I28+I29</f>
        <v>6642.7556295648</v>
      </c>
      <c r="J30" s="26" t="n">
        <f aca="false">J28+J29</f>
        <v>7942.14965899469</v>
      </c>
    </row>
    <row r="31" customFormat="false" ht="12.75" hidden="false" customHeight="true" outlineLevel="0" collapsed="false">
      <c r="A31" s="14" t="s">
        <v>85</v>
      </c>
      <c r="B31" s="19" t="n">
        <f aca="false">IFERROR(B30/B11,0)</f>
        <v>-0.148453123202577</v>
      </c>
      <c r="C31" s="19" t="n">
        <f aca="false">IFERROR(C30/C11,0)</f>
        <v>0.0219281428468156</v>
      </c>
      <c r="D31" s="19" t="n">
        <f aca="false">IFERROR(D30/D11,0)</f>
        <v>0.0264329697419026</v>
      </c>
      <c r="E31" s="19" t="n">
        <f aca="false">IFERROR(E30/E11,0)</f>
        <v>0.0244555824731409</v>
      </c>
      <c r="F31" s="19" t="n">
        <f aca="false">IFERROR(F30/F11,0)</f>
        <v>0.0415040199978006</v>
      </c>
      <c r="G31" s="19" t="n">
        <f aca="false">IFERROR(G30/G11,0)</f>
        <v>0.060159541193297</v>
      </c>
      <c r="H31" s="19" t="n">
        <f aca="false">IFERROR(H30/H11,0)</f>
        <v>0.0846340011944598</v>
      </c>
      <c r="I31" s="19" t="n">
        <f aca="false">IFERROR(I30/I11,0)</f>
        <v>0.100372398023398</v>
      </c>
      <c r="J31" s="19" t="n">
        <f aca="false">IFERROR(J30/J11,0)</f>
        <v>0.108965279352483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2"/>
  </cols>
  <sheetData>
    <row r="1" customFormat="false" ht="15.75" hidden="false" customHeight="true" outlineLevel="0" collapsed="false">
      <c r="A1" s="9" t="s">
        <v>86</v>
      </c>
    </row>
    <row r="2" customFormat="false" ht="12" hidden="false" customHeight="true" outlineLevel="0" collapsed="false">
      <c r="A2" s="10" t="s">
        <v>87</v>
      </c>
    </row>
    <row r="3" customFormat="false" ht="9.75" hidden="false" customHeight="true" outlineLevel="0" collapsed="false"/>
    <row r="4" customFormat="false" ht="15" hidden="false" customHeight="true" outlineLevel="0" collapsed="false">
      <c r="A4" s="11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</row>
    <row r="5" customFormat="false" ht="12.75" hidden="false" customHeight="true" outlineLevel="0" collapsed="false">
      <c r="A5" s="13" t="s">
        <v>88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2.75" hidden="false" customHeight="true" outlineLevel="0" collapsed="false">
      <c r="A6" s="14" t="s">
        <v>89</v>
      </c>
      <c r="B6" s="15" t="n">
        <v>6351</v>
      </c>
      <c r="C6" s="15" t="n">
        <v>6466</v>
      </c>
      <c r="D6" s="15" t="n">
        <v>9683</v>
      </c>
      <c r="E6" s="16" t="n">
        <f aca="false">D6+Assumptions!E21*'P&amp;L'!E11-(-'P&amp;L'!E22)</f>
        <v>10077.9504</v>
      </c>
      <c r="F6" s="16" t="n">
        <f aca="false">E6+Assumptions!F21*'P&amp;L'!F11-(-'P&amp;L'!F22)</f>
        <v>10874.518</v>
      </c>
      <c r="G6" s="16" t="n">
        <f aca="false">F6+Assumptions!G21*'P&amp;L'!G11-(-'P&amp;L'!G22)</f>
        <v>11718.1846976</v>
      </c>
      <c r="H6" s="16" t="n">
        <f aca="false">G6+Assumptions!H21*'P&amp;L'!H11-(-'P&amp;L'!H22)</f>
        <v>12535.36306352</v>
      </c>
      <c r="I6" s="16" t="n">
        <f aca="false">H6+Assumptions!I21*'P&amp;L'!I11-(-'P&amp;L'!I22)</f>
        <v>13263.3551546144</v>
      </c>
      <c r="J6" s="16" t="n">
        <f aca="false">I6+Assumptions!J21*'P&amp;L'!J11-(-'P&amp;L'!J22)</f>
        <v>13846.4509595306</v>
      </c>
    </row>
    <row r="7" customFormat="false" ht="12.75" hidden="false" customHeight="true" outlineLevel="0" collapsed="false">
      <c r="A7" s="14" t="s">
        <v>90</v>
      </c>
      <c r="B7" s="15" t="n">
        <v>6765</v>
      </c>
      <c r="C7" s="15" t="n">
        <v>11645</v>
      </c>
      <c r="D7" s="15" t="n">
        <v>13192</v>
      </c>
      <c r="E7" s="15" t="n">
        <v>14500</v>
      </c>
      <c r="F7" s="15" t="n">
        <v>15800</v>
      </c>
      <c r="G7" s="15" t="n">
        <v>17000</v>
      </c>
      <c r="H7" s="15" t="n">
        <v>18000</v>
      </c>
      <c r="I7" s="15" t="n">
        <v>19000</v>
      </c>
      <c r="J7" s="15" t="n">
        <v>20000</v>
      </c>
    </row>
    <row r="8" customFormat="false" ht="12.75" hidden="false" customHeight="true" outlineLevel="0" collapsed="false">
      <c r="A8" s="14" t="s">
        <v>91</v>
      </c>
      <c r="B8" s="15" t="n">
        <v>490</v>
      </c>
      <c r="C8" s="15" t="n">
        <v>1252</v>
      </c>
      <c r="D8" s="15" t="n">
        <v>3196</v>
      </c>
      <c r="E8" s="15" t="n">
        <v>3500</v>
      </c>
      <c r="F8" s="15" t="n">
        <v>3800</v>
      </c>
      <c r="G8" s="15" t="n">
        <v>4100</v>
      </c>
      <c r="H8" s="15" t="n">
        <v>4400</v>
      </c>
      <c r="I8" s="15" t="n">
        <v>4700</v>
      </c>
      <c r="J8" s="15" t="n">
        <v>5000</v>
      </c>
    </row>
    <row r="9" customFormat="false" ht="13.5" hidden="false" customHeight="true" outlineLevel="0" collapsed="false">
      <c r="A9" s="23" t="s">
        <v>92</v>
      </c>
      <c r="B9" s="24" t="n">
        <f aca="false">SUM(B6:B8)</f>
        <v>13606</v>
      </c>
      <c r="C9" s="24" t="n">
        <f aca="false">SUM(C6:C8)</f>
        <v>19363</v>
      </c>
      <c r="D9" s="24" t="n">
        <f aca="false">SUM(D6:D8)</f>
        <v>26071</v>
      </c>
      <c r="E9" s="24" t="n">
        <f aca="false">SUM(E6:E8)</f>
        <v>28077.9504</v>
      </c>
      <c r="F9" s="24" t="n">
        <f aca="false">SUM(F6:F8)</f>
        <v>30474.518</v>
      </c>
      <c r="G9" s="24" t="n">
        <f aca="false">SUM(G6:G8)</f>
        <v>32818.1846976</v>
      </c>
      <c r="H9" s="24" t="n">
        <f aca="false">SUM(H6:H8)</f>
        <v>34935.36306352</v>
      </c>
      <c r="I9" s="24" t="n">
        <f aca="false">SUM(I6:I8)</f>
        <v>36963.3551546144</v>
      </c>
      <c r="J9" s="24" t="n">
        <f aca="false">SUM(J6:J8)</f>
        <v>38846.4509595306</v>
      </c>
    </row>
    <row r="10" customFormat="false" ht="3" hidden="false" customHeight="true" outlineLevel="0" collapsed="false"/>
    <row r="11" customFormat="false" ht="12.75" hidden="false" customHeight="true" outlineLevel="0" collapsed="false">
      <c r="A11" s="13" t="s">
        <v>93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2.75" hidden="false" customHeight="true" outlineLevel="0" collapsed="false">
      <c r="A12" s="14" t="s">
        <v>94</v>
      </c>
      <c r="B12" s="15" t="n">
        <v>334</v>
      </c>
      <c r="C12" s="15" t="n">
        <v>309</v>
      </c>
      <c r="D12" s="15" t="n">
        <v>666</v>
      </c>
      <c r="E12" s="15" t="n">
        <v>1000</v>
      </c>
      <c r="F12" s="15" t="n">
        <v>1400</v>
      </c>
      <c r="G12" s="15" t="n">
        <v>2000</v>
      </c>
      <c r="H12" s="15" t="n">
        <v>2800</v>
      </c>
      <c r="I12" s="15" t="n">
        <v>3800</v>
      </c>
      <c r="J12" s="15" t="n">
        <v>5000</v>
      </c>
    </row>
    <row r="13" customFormat="false" ht="12.75" hidden="false" customHeight="true" outlineLevel="0" collapsed="false">
      <c r="A13" s="14" t="s">
        <v>95</v>
      </c>
      <c r="B13" s="15" t="n">
        <v>700</v>
      </c>
      <c r="C13" s="15" t="n">
        <v>422</v>
      </c>
      <c r="D13" s="15" t="n">
        <v>2948</v>
      </c>
      <c r="E13" s="15" t="n">
        <v>3200</v>
      </c>
      <c r="F13" s="15" t="n">
        <v>3500</v>
      </c>
      <c r="G13" s="15" t="n">
        <v>3800</v>
      </c>
      <c r="H13" s="15" t="n">
        <v>4000</v>
      </c>
      <c r="I13" s="15" t="n">
        <v>4200</v>
      </c>
      <c r="J13" s="15" t="n">
        <v>4500</v>
      </c>
    </row>
    <row r="14" customFormat="false" ht="12.75" hidden="false" customHeight="true" outlineLevel="0" collapsed="false">
      <c r="A14" s="14" t="s">
        <v>96</v>
      </c>
      <c r="B14" s="15" t="n">
        <v>1280</v>
      </c>
      <c r="C14" s="15" t="n">
        <v>1280</v>
      </c>
      <c r="D14" s="15" t="n">
        <v>2272</v>
      </c>
      <c r="E14" s="15" t="n">
        <v>2500</v>
      </c>
      <c r="F14" s="15" t="n">
        <v>2700</v>
      </c>
      <c r="G14" s="15" t="n">
        <v>2900</v>
      </c>
      <c r="H14" s="15" t="n">
        <v>3100</v>
      </c>
      <c r="I14" s="15" t="n">
        <v>3300</v>
      </c>
      <c r="J14" s="15" t="n">
        <v>3500</v>
      </c>
    </row>
    <row r="15" customFormat="false" ht="12.75" hidden="false" customHeight="true" outlineLevel="0" collapsed="false">
      <c r="A15" s="14" t="s">
        <v>97</v>
      </c>
      <c r="B15" s="15" t="n">
        <v>632</v>
      </c>
      <c r="C15" s="15" t="n">
        <v>794</v>
      </c>
      <c r="D15" s="15" t="n">
        <v>1946</v>
      </c>
      <c r="E15" s="21" t="n">
        <f aca="false">'P&amp;L'!E11/365*35</f>
        <v>2913.22739726027</v>
      </c>
      <c r="F15" s="21" t="n">
        <f aca="false">'P&amp;L'!F11/365*35</f>
        <v>3819.1597260274</v>
      </c>
      <c r="G15" s="21" t="n">
        <f aca="false">'P&amp;L'!G11/365*35</f>
        <v>4758.79684383562</v>
      </c>
      <c r="H15" s="21" t="n">
        <f aca="false">'P&amp;L'!H11/365*35</f>
        <v>5597.11209534247</v>
      </c>
      <c r="I15" s="21" t="n">
        <f aca="false">'P&amp;L'!I11/365*35</f>
        <v>6346.13279907945</v>
      </c>
      <c r="J15" s="21" t="n">
        <f aca="false">'P&amp;L'!J11/365*35</f>
        <v>6989.16204522871</v>
      </c>
    </row>
    <row r="16" customFormat="false" ht="12.75" hidden="false" customHeight="true" outlineLevel="0" collapsed="false">
      <c r="A16" s="14" t="s">
        <v>98</v>
      </c>
      <c r="B16" s="15" t="n">
        <v>300</v>
      </c>
      <c r="C16" s="15" t="n">
        <v>250</v>
      </c>
      <c r="D16" s="15" t="n">
        <v>680</v>
      </c>
      <c r="E16" s="21" t="n">
        <f aca="false">'P&amp;L'!E11/365*20</f>
        <v>1664.70136986301</v>
      </c>
      <c r="F16" s="21" t="n">
        <f aca="false">'P&amp;L'!F11/365*20</f>
        <v>2182.37698630137</v>
      </c>
      <c r="G16" s="21" t="n">
        <f aca="false">'P&amp;L'!G11/365*20</f>
        <v>2719.31248219178</v>
      </c>
      <c r="H16" s="21" t="n">
        <f aca="false">'P&amp;L'!H11/365*20</f>
        <v>3198.34976876712</v>
      </c>
      <c r="I16" s="21" t="n">
        <f aca="false">'P&amp;L'!I11/365*20</f>
        <v>3626.36159947397</v>
      </c>
      <c r="J16" s="21" t="n">
        <f aca="false">'P&amp;L'!J11/365*20</f>
        <v>3993.80688298784</v>
      </c>
    </row>
    <row r="17" customFormat="false" ht="12.75" hidden="false" customHeight="true" outlineLevel="0" collapsed="false">
      <c r="A17" s="14" t="s">
        <v>99</v>
      </c>
      <c r="B17" s="15" t="n">
        <v>3800</v>
      </c>
      <c r="C17" s="15" t="n">
        <v>2611</v>
      </c>
      <c r="D17" s="15" t="n">
        <v>8528</v>
      </c>
      <c r="E17" s="15" t="n">
        <v>9000</v>
      </c>
      <c r="F17" s="15" t="n">
        <v>9800</v>
      </c>
      <c r="G17" s="15" t="n">
        <v>10500</v>
      </c>
      <c r="H17" s="15" t="n">
        <v>11000</v>
      </c>
      <c r="I17" s="15" t="n">
        <v>11500</v>
      </c>
      <c r="J17" s="15" t="n">
        <v>12000</v>
      </c>
    </row>
    <row r="18" customFormat="false" ht="13.5" hidden="false" customHeight="true" outlineLevel="0" collapsed="false">
      <c r="A18" s="23" t="s">
        <v>100</v>
      </c>
      <c r="B18" s="24" t="n">
        <f aca="false">SUM(B12:B17)</f>
        <v>7046</v>
      </c>
      <c r="C18" s="24" t="n">
        <f aca="false">SUM(C12:C17)</f>
        <v>5666</v>
      </c>
      <c r="D18" s="24" t="n">
        <f aca="false">SUM(D12:D17)</f>
        <v>17040</v>
      </c>
      <c r="E18" s="24" t="n">
        <f aca="false">SUM(E12:E17)</f>
        <v>20277.9287671233</v>
      </c>
      <c r="F18" s="24" t="n">
        <f aca="false">SUM(F12:F17)</f>
        <v>23401.5367123288</v>
      </c>
      <c r="G18" s="24" t="n">
        <f aca="false">SUM(G12:G17)</f>
        <v>26678.1093260274</v>
      </c>
      <c r="H18" s="24" t="n">
        <f aca="false">SUM(H12:H17)</f>
        <v>29695.4618641096</v>
      </c>
      <c r="I18" s="24" t="n">
        <f aca="false">SUM(I12:I17)</f>
        <v>32772.4943985534</v>
      </c>
      <c r="J18" s="24" t="n">
        <f aca="false">SUM(J12:J17)</f>
        <v>35982.9689282166</v>
      </c>
    </row>
    <row r="19" customFormat="false" ht="13.5" hidden="false" customHeight="true" outlineLevel="0" collapsed="false">
      <c r="A19" s="25" t="s">
        <v>101</v>
      </c>
      <c r="B19" s="26" t="n">
        <f aca="false">B9+B18</f>
        <v>20652</v>
      </c>
      <c r="C19" s="26" t="n">
        <f aca="false">C9+C18</f>
        <v>25029</v>
      </c>
      <c r="D19" s="26" t="n">
        <f aca="false">D9+D18</f>
        <v>43111</v>
      </c>
      <c r="E19" s="26" t="n">
        <f aca="false">E9+E18</f>
        <v>48355.8791671233</v>
      </c>
      <c r="F19" s="26" t="n">
        <f aca="false">F9+F18</f>
        <v>53876.0547123288</v>
      </c>
      <c r="G19" s="26" t="n">
        <f aca="false">G9+G18</f>
        <v>59496.2940236274</v>
      </c>
      <c r="H19" s="26" t="n">
        <f aca="false">H9+H18</f>
        <v>64630.8249276296</v>
      </c>
      <c r="I19" s="26" t="n">
        <f aca="false">I9+I18</f>
        <v>69735.8495531678</v>
      </c>
      <c r="J19" s="26" t="n">
        <f aca="false">J9+J18</f>
        <v>74829.4198877472</v>
      </c>
    </row>
    <row r="20" customFormat="false" ht="3" hidden="false" customHeight="true" outlineLevel="0" collapsed="false"/>
    <row r="21" customFormat="false" ht="12.75" hidden="false" customHeight="true" outlineLevel="0" collapsed="false">
      <c r="A21" s="13" t="s">
        <v>102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2.75" hidden="false" customHeight="true" outlineLevel="0" collapsed="false">
      <c r="A22" s="14" t="s">
        <v>103</v>
      </c>
      <c r="B22" s="15" t="n">
        <v>19460</v>
      </c>
      <c r="C22" s="15" t="n">
        <v>20413</v>
      </c>
      <c r="D22" s="15" t="n">
        <v>30317</v>
      </c>
      <c r="E22" s="21" t="n">
        <f aca="false">D22+'P&amp;L'!E30+800</f>
        <v>31859.98016</v>
      </c>
      <c r="F22" s="21" t="n">
        <f aca="false">E22+'P&amp;L'!F30+800</f>
        <v>34313.01804</v>
      </c>
      <c r="G22" s="21" t="n">
        <f aca="false">F22+'P&amp;L'!G30+800</f>
        <v>38098.58283104</v>
      </c>
      <c r="H22" s="21" t="n">
        <f aca="false">G22+'P&amp;L'!H30+800</f>
        <v>43838.65960228</v>
      </c>
      <c r="I22" s="21" t="n">
        <f aca="false">H22+'P&amp;L'!I30+800</f>
        <v>51281.4152318448</v>
      </c>
      <c r="J22" s="21" t="n">
        <f aca="false">I22+'P&amp;L'!J30+800</f>
        <v>60023.5648908395</v>
      </c>
    </row>
    <row r="23" customFormat="false" ht="12.75" hidden="false" customHeight="true" outlineLevel="0" collapsed="false">
      <c r="A23" s="14" t="s">
        <v>104</v>
      </c>
      <c r="B23" s="15" t="n">
        <v>507</v>
      </c>
      <c r="C23" s="15" t="n">
        <v>749</v>
      </c>
      <c r="D23" s="15" t="n">
        <v>2045</v>
      </c>
      <c r="E23" s="15" t="n">
        <v>3000</v>
      </c>
      <c r="F23" s="15" t="n">
        <v>3500</v>
      </c>
      <c r="G23" s="15" t="n">
        <v>3500</v>
      </c>
      <c r="H23" s="15" t="n">
        <v>3000</v>
      </c>
      <c r="I23" s="15" t="n">
        <v>2500</v>
      </c>
      <c r="J23" s="15" t="n">
        <v>2000</v>
      </c>
    </row>
    <row r="24" customFormat="false" ht="12.75" hidden="false" customHeight="true" outlineLevel="0" collapsed="false">
      <c r="A24" s="14" t="s">
        <v>105</v>
      </c>
      <c r="B24" s="15" t="n">
        <v>1632</v>
      </c>
      <c r="C24" s="15" t="n">
        <v>2194</v>
      </c>
      <c r="D24" s="15" t="n">
        <v>8374</v>
      </c>
      <c r="E24" s="21" t="n">
        <f aca="false">'P&amp;L'!E11/365*40</f>
        <v>3329.40273972603</v>
      </c>
      <c r="F24" s="21" t="n">
        <f aca="false">'P&amp;L'!F11/365*40</f>
        <v>4364.75397260274</v>
      </c>
      <c r="G24" s="21" t="n">
        <f aca="false">'P&amp;L'!G11/365*40</f>
        <v>5438.62496438356</v>
      </c>
      <c r="H24" s="21" t="n">
        <f aca="false">'P&amp;L'!H11/365*40</f>
        <v>6396.69953753425</v>
      </c>
      <c r="I24" s="21" t="n">
        <f aca="false">'P&amp;L'!I11/365*40</f>
        <v>7252.72319894794</v>
      </c>
      <c r="J24" s="21" t="n">
        <f aca="false">'P&amp;L'!J11/365*40</f>
        <v>7987.61376597567</v>
      </c>
    </row>
    <row r="25" customFormat="false" ht="13.5" hidden="false" customHeight="true" outlineLevel="0" collapsed="false">
      <c r="A25" s="25" t="s">
        <v>106</v>
      </c>
      <c r="B25" s="26" t="n">
        <f aca="false">SUM(B22:B24)</f>
        <v>21599</v>
      </c>
      <c r="C25" s="26" t="n">
        <f aca="false">SUM(C22:C24)</f>
        <v>23356</v>
      </c>
      <c r="D25" s="26" t="n">
        <f aca="false">SUM(D22:D24)</f>
        <v>40736</v>
      </c>
      <c r="E25" s="26" t="n">
        <f aca="false">SUM(E22:E24)</f>
        <v>38189.382899726</v>
      </c>
      <c r="F25" s="26" t="n">
        <f aca="false">SUM(F22:F24)</f>
        <v>42177.7720126027</v>
      </c>
      <c r="G25" s="26" t="n">
        <f aca="false">SUM(G22:G24)</f>
        <v>47037.2077954236</v>
      </c>
      <c r="H25" s="26" t="n">
        <f aca="false">SUM(H22:H24)</f>
        <v>53235.3591398142</v>
      </c>
      <c r="I25" s="26" t="n">
        <f aca="false">SUM(I22:I24)</f>
        <v>61034.1384307927</v>
      </c>
      <c r="J25" s="26" t="n">
        <f aca="false">SUM(J22:J24)</f>
        <v>70011.1786568152</v>
      </c>
    </row>
    <row r="26" customFormat="false" ht="12.75" hidden="false" customHeight="true" outlineLevel="0" collapsed="false">
      <c r="A26" s="14" t="s">
        <v>107</v>
      </c>
      <c r="B26" s="27" t="str">
        <f aca="false">IF(ABS(B19-B25)&lt;1,"—","CHECK")</f>
        <v>CHECK</v>
      </c>
      <c r="C26" s="27" t="str">
        <f aca="false">IF(ABS(C19-C25)&lt;1,"—","CHECK")</f>
        <v>CHECK</v>
      </c>
      <c r="D26" s="27" t="str">
        <f aca="false">IF(ABS(D19-D25)&lt;1,"—","CHECK")</f>
        <v>CHECK</v>
      </c>
      <c r="E26" s="27" t="str">
        <f aca="false">IF(ABS(E19-E25)&lt;1,"—","CHECK")</f>
        <v>CHECK</v>
      </c>
      <c r="F26" s="27" t="str">
        <f aca="false">IF(ABS(F19-F25)&lt;1,"—","CHECK")</f>
        <v>CHECK</v>
      </c>
      <c r="G26" s="27" t="str">
        <f aca="false">IF(ABS(G19-G25)&lt;1,"—","CHECK")</f>
        <v>CHECK</v>
      </c>
      <c r="H26" s="27" t="str">
        <f aca="false">IF(ABS(H19-H25)&lt;1,"—","CHECK")</f>
        <v>CHECK</v>
      </c>
      <c r="I26" s="27" t="str">
        <f aca="false">IF(ABS(I19-I25)&lt;1,"—","CHECK")</f>
        <v>CHECK</v>
      </c>
      <c r="J26" s="27" t="str">
        <f aca="false">IF(ABS(J19-J25)&lt;1,"—","CHECK")</f>
        <v>CHECK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1" min="2" style="1" width="12"/>
  </cols>
  <sheetData>
    <row r="1" customFormat="false" ht="15.75" hidden="false" customHeight="true" outlineLevel="0" collapsed="false">
      <c r="A1" s="9" t="s">
        <v>108</v>
      </c>
    </row>
    <row r="2" customFormat="false" ht="12" hidden="false" customHeight="true" outlineLevel="0" collapsed="false">
      <c r="A2" s="10" t="s">
        <v>87</v>
      </c>
    </row>
    <row r="3" customFormat="false" ht="9.75" hidden="false" customHeight="true" outlineLevel="0" collapsed="false"/>
    <row r="4" customFormat="false" ht="15" hidden="false" customHeight="true" outlineLevel="0" collapsed="false">
      <c r="A4" s="11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</row>
    <row r="5" customFormat="false" ht="12.75" hidden="false" customHeight="true" outlineLevel="0" collapsed="false">
      <c r="A5" s="13" t="s">
        <v>109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2.75" hidden="false" customHeight="true" outlineLevel="0" collapsed="false">
      <c r="A6" s="14" t="s">
        <v>110</v>
      </c>
      <c r="B6" s="21" t="n">
        <f aca="false">'P&amp;L'!B20</f>
        <v>-1486.503</v>
      </c>
      <c r="C6" s="21" t="n">
        <f aca="false">'P&amp;L'!C20</f>
        <v>55.332</v>
      </c>
      <c r="D6" s="21" t="n">
        <f aca="false">'P&amp;L'!D20</f>
        <v>690.592</v>
      </c>
      <c r="E6" s="21" t="n">
        <f aca="false">'P&amp;L'!E20</f>
        <v>1519.04</v>
      </c>
      <c r="F6" s="21" t="n">
        <f aca="false">'P&amp;L'!F20</f>
        <v>3186.2704</v>
      </c>
      <c r="G6" s="21" t="n">
        <f aca="false">'P&amp;L'!G20</f>
        <v>5459.019808</v>
      </c>
      <c r="H6" s="21" t="n">
        <f aca="false">'P&amp;L'!H20</f>
        <v>7588.0848264</v>
      </c>
      <c r="I6" s="21" t="n">
        <f aca="false">'P&amp;L'!I20</f>
        <v>9927.16487856</v>
      </c>
      <c r="J6" s="21" t="n">
        <f aca="false">'P&amp;L'!J20</f>
        <v>11661.9160983245</v>
      </c>
    </row>
    <row r="7" customFormat="false" ht="12.75" hidden="false" customHeight="true" outlineLevel="0" collapsed="false">
      <c r="A7" s="14" t="s">
        <v>111</v>
      </c>
      <c r="B7" s="21" t="n">
        <f aca="false">-MAX(0,'P&amp;L'!B28*Assumptions!B18)</f>
        <v>-0</v>
      </c>
      <c r="C7" s="21" t="n">
        <f aca="false">-MAX(0,'P&amp;L'!C28*Assumptions!C18)</f>
        <v>-0</v>
      </c>
      <c r="D7" s="21" t="n">
        <f aca="false">-MAX(0,'P&amp;L'!D28*Assumptions!D18)</f>
        <v>-180.14208</v>
      </c>
      <c r="E7" s="21" t="n">
        <f aca="false">-MAX(0,'P&amp;L'!E28*Assumptions!E18)</f>
        <v>-400.06624</v>
      </c>
      <c r="F7" s="21" t="n">
        <f aca="false">-MAX(0,'P&amp;L'!F28*Assumptions!F18)</f>
        <v>-890.09732</v>
      </c>
      <c r="G7" s="21" t="n">
        <f aca="false">-MAX(0,'P&amp;L'!G28*Assumptions!G18)</f>
        <v>-1607.61181056</v>
      </c>
      <c r="H7" s="21" t="n">
        <f aca="false">-MAX(0,'P&amp;L'!H28*Assumptions!H18)</f>
        <v>-1646.69225708</v>
      </c>
      <c r="I7" s="21" t="n">
        <f aca="false">-MAX(0,'P&amp;L'!I28*Assumptions!I18)</f>
        <v>-2214.2518765216</v>
      </c>
      <c r="J7" s="21" t="n">
        <f aca="false">-MAX(0,'P&amp;L'!J28*Assumptions!J18)</f>
        <v>-2647.3832196649</v>
      </c>
    </row>
    <row r="8" customFormat="false" ht="12.75" hidden="false" customHeight="true" outlineLevel="0" collapsed="false">
      <c r="A8" s="14" t="s">
        <v>112</v>
      </c>
      <c r="B8" s="15" t="n">
        <v>-200</v>
      </c>
      <c r="C8" s="15" t="n">
        <v>100</v>
      </c>
      <c r="D8" s="15" t="n">
        <v>-150</v>
      </c>
      <c r="E8" s="21" t="n">
        <f aca="false">Assumptions!E22*('P&amp;L'!E11-'P&amp;L'!D11)</f>
        <v>-263.994</v>
      </c>
      <c r="F8" s="21" t="n">
        <f aca="false">Assumptions!F22*('P&amp;L'!F11-'P&amp;L'!E11)</f>
        <v>-283.4274</v>
      </c>
      <c r="G8" s="21" t="n">
        <f aca="false">Assumptions!G22*('P&amp;L'!G11-'P&amp;L'!F11)</f>
        <v>-293.972184</v>
      </c>
      <c r="H8" s="21" t="n">
        <f aca="false">Assumptions!H22*('P&amp;L'!H11-'P&amp;L'!G11)</f>
        <v>-174.8486096</v>
      </c>
      <c r="I8" s="21" t="n">
        <f aca="false">Assumptions!I22*('P&amp;L'!I11-'P&amp;L'!H11)</f>
        <v>-156.224318208</v>
      </c>
      <c r="J8" s="21" t="n">
        <f aca="false">Assumptions!J22*('P&amp;L'!J11-'P&amp;L'!I11)</f>
        <v>-134.11752848256</v>
      </c>
    </row>
    <row r="9" customFormat="false" ht="13.5" hidden="false" customHeight="true" outlineLevel="0" collapsed="false">
      <c r="A9" s="23" t="s">
        <v>113</v>
      </c>
      <c r="B9" s="28" t="n">
        <v>-844</v>
      </c>
      <c r="C9" s="28" t="n">
        <v>646</v>
      </c>
      <c r="D9" s="28" t="n">
        <v>308</v>
      </c>
      <c r="E9" s="24" t="n">
        <f aca="false">E6+E7+E8</f>
        <v>854.97976</v>
      </c>
      <c r="F9" s="24" t="n">
        <f aca="false">F6+F7+F8</f>
        <v>2012.74568</v>
      </c>
      <c r="G9" s="24" t="n">
        <f aca="false">G6+G7+G8</f>
        <v>3557.43581344</v>
      </c>
      <c r="H9" s="24" t="n">
        <f aca="false">H6+H7+H8</f>
        <v>5766.54395972</v>
      </c>
      <c r="I9" s="24" t="n">
        <f aca="false">I6+I7+I8</f>
        <v>7556.6886838304</v>
      </c>
      <c r="J9" s="24" t="n">
        <f aca="false">J6+J7+J8</f>
        <v>8880.41535017703</v>
      </c>
    </row>
    <row r="10" customFormat="false" ht="3" hidden="false" customHeight="true" outlineLevel="0" collapsed="false"/>
    <row r="11" customFormat="false" ht="12.75" hidden="false" customHeight="true" outlineLevel="0" collapsed="false">
      <c r="A11" s="13" t="s">
        <v>114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2.75" hidden="false" customHeight="true" outlineLevel="0" collapsed="false">
      <c r="A12" s="14" t="s">
        <v>115</v>
      </c>
      <c r="B12" s="15" t="n">
        <v>-845</v>
      </c>
      <c r="C12" s="15" t="n">
        <v>-215</v>
      </c>
      <c r="D12" s="15" t="n">
        <v>-936</v>
      </c>
      <c r="E12" s="21" t="n">
        <f aca="false">-Assumptions!E21*'P&amp;L'!E11</f>
        <v>-1670.944</v>
      </c>
      <c r="F12" s="21" t="n">
        <f aca="false">-Assumptions!F21*'P&amp;L'!F11</f>
        <v>-2389.7028</v>
      </c>
      <c r="G12" s="21" t="n">
        <f aca="false">-Assumptions!G21*'P&amp;L'!G11</f>
        <v>-2729.509904</v>
      </c>
      <c r="H12" s="21" t="n">
        <f aca="false">-Assumptions!H21*'P&amp;L'!H11</f>
        <v>-2918.494164</v>
      </c>
      <c r="I12" s="21" t="n">
        <f aca="false">-Assumptions!I21*'P&amp;L'!I11</f>
        <v>-2978.149463568</v>
      </c>
      <c r="J12" s="21" t="n">
        <f aca="false">-Assumptions!J21*'P&amp;L'!J11</f>
        <v>-2915.47902458112</v>
      </c>
    </row>
    <row r="13" customFormat="false" ht="12.75" hidden="false" customHeight="true" outlineLevel="0" collapsed="false">
      <c r="A13" s="14" t="s">
        <v>116</v>
      </c>
      <c r="B13" s="15" t="n">
        <v>1642</v>
      </c>
      <c r="C13" s="15" t="n">
        <v>-131</v>
      </c>
      <c r="D13" s="15" t="n">
        <v>-7057</v>
      </c>
      <c r="E13" s="15" t="n">
        <v>-500</v>
      </c>
      <c r="F13" s="15" t="n">
        <v>-500</v>
      </c>
      <c r="G13" s="15" t="n">
        <v>-500</v>
      </c>
      <c r="H13" s="15" t="n">
        <v>-500</v>
      </c>
      <c r="I13" s="15" t="n">
        <v>-500</v>
      </c>
      <c r="J13" s="15" t="n">
        <v>-500</v>
      </c>
    </row>
    <row r="14" customFormat="false" ht="13.5" hidden="false" customHeight="true" outlineLevel="0" collapsed="false">
      <c r="A14" s="23" t="s">
        <v>117</v>
      </c>
      <c r="B14" s="28" t="n">
        <v>797</v>
      </c>
      <c r="C14" s="28" t="n">
        <v>-348</v>
      </c>
      <c r="D14" s="28" t="n">
        <v>-7993</v>
      </c>
      <c r="E14" s="24" t="n">
        <f aca="false">E12+E13</f>
        <v>-2170.944</v>
      </c>
      <c r="F14" s="24" t="n">
        <f aca="false">F12+F13</f>
        <v>-2889.7028</v>
      </c>
      <c r="G14" s="24" t="n">
        <f aca="false">G12+G13</f>
        <v>-3229.509904</v>
      </c>
      <c r="H14" s="24" t="n">
        <f aca="false">H12+H13</f>
        <v>-3418.494164</v>
      </c>
      <c r="I14" s="24" t="n">
        <f aca="false">I12+I13</f>
        <v>-3478.149463568</v>
      </c>
      <c r="J14" s="24" t="n">
        <f aca="false">J12+J13</f>
        <v>-3415.47902458112</v>
      </c>
    </row>
    <row r="15" customFormat="false" ht="3" hidden="false" customHeight="true" outlineLevel="0" collapsed="false"/>
    <row r="16" customFormat="false" ht="12.75" hidden="false" customHeight="true" outlineLevel="0" collapsed="false">
      <c r="A16" s="13" t="s">
        <v>118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2.75" hidden="false" customHeight="true" outlineLevel="0" collapsed="false">
      <c r="A17" s="14" t="s">
        <v>119</v>
      </c>
      <c r="B17" s="15" t="n">
        <v>437</v>
      </c>
      <c r="C17" s="15" t="n">
        <v>202</v>
      </c>
      <c r="D17" s="15" t="n">
        <v>1296</v>
      </c>
      <c r="E17" s="15" t="n">
        <v>955</v>
      </c>
      <c r="F17" s="15" t="n">
        <v>500</v>
      </c>
      <c r="G17" s="15" t="n">
        <v>0</v>
      </c>
      <c r="H17" s="15" t="n">
        <v>-500</v>
      </c>
      <c r="I17" s="15" t="n">
        <v>-500</v>
      </c>
      <c r="J17" s="15" t="n">
        <v>-500</v>
      </c>
    </row>
    <row r="18" customFormat="false" ht="12.75" hidden="false" customHeight="true" outlineLevel="0" collapsed="false">
      <c r="A18" s="14" t="s">
        <v>120</v>
      </c>
      <c r="B18" s="15" t="n">
        <v>-127</v>
      </c>
      <c r="C18" s="15" t="n">
        <v>-207</v>
      </c>
      <c r="D18" s="15" t="n">
        <v>8042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</row>
    <row r="19" customFormat="false" ht="13.5" hidden="false" customHeight="true" outlineLevel="0" collapsed="false">
      <c r="A19" s="23" t="s">
        <v>121</v>
      </c>
      <c r="B19" s="28" t="n">
        <v>-127</v>
      </c>
      <c r="C19" s="28" t="n">
        <v>-207</v>
      </c>
      <c r="D19" s="28" t="n">
        <v>8042</v>
      </c>
      <c r="E19" s="24" t="n">
        <f aca="false">E17+E18</f>
        <v>955</v>
      </c>
      <c r="F19" s="24" t="n">
        <f aca="false">F17+F18</f>
        <v>500</v>
      </c>
      <c r="G19" s="24" t="n">
        <f aca="false">G17+G18</f>
        <v>0</v>
      </c>
      <c r="H19" s="24" t="n">
        <f aca="false">H17+H18</f>
        <v>-500</v>
      </c>
      <c r="I19" s="24" t="n">
        <f aca="false">I17+I18</f>
        <v>-500</v>
      </c>
      <c r="J19" s="24" t="n">
        <f aca="false">J17+J18</f>
        <v>-500</v>
      </c>
    </row>
    <row r="20" customFormat="false" ht="3" hidden="false" customHeight="true" outlineLevel="0" collapsed="false"/>
    <row r="21" customFormat="false" ht="12.75" hidden="false" customHeight="true" outlineLevel="0" collapsed="false">
      <c r="A21" s="13" t="s">
        <v>122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2.75" hidden="false" customHeight="true" outlineLevel="0" collapsed="false">
      <c r="A22" s="14" t="s">
        <v>123</v>
      </c>
      <c r="B22" s="21" t="n">
        <f aca="false">'P&amp;L'!B23</f>
        <v>-1923.503</v>
      </c>
      <c r="C22" s="21" t="n">
        <f aca="false">'P&amp;L'!C23</f>
        <v>-470.668</v>
      </c>
      <c r="D22" s="21" t="n">
        <f aca="false">'P&amp;L'!D23</f>
        <v>-172.408</v>
      </c>
      <c r="E22" s="21" t="n">
        <f aca="false">'P&amp;L'!E23</f>
        <v>243.0464</v>
      </c>
      <c r="F22" s="21" t="n">
        <f aca="false">'P&amp;L'!F23</f>
        <v>1593.1352</v>
      </c>
      <c r="G22" s="21" t="n">
        <f aca="false">'P&amp;L'!G23</f>
        <v>3573.1766016</v>
      </c>
      <c r="H22" s="21" t="n">
        <f aca="false">'P&amp;L'!H23</f>
        <v>5486.76902832</v>
      </c>
      <c r="I22" s="21" t="n">
        <f aca="false">'P&amp;L'!I23</f>
        <v>7677.0075060864</v>
      </c>
      <c r="J22" s="21" t="n">
        <f aca="false">'P&amp;L'!J23</f>
        <v>9329.53287865959</v>
      </c>
    </row>
    <row r="23" customFormat="false" ht="12.75" hidden="false" customHeight="true" outlineLevel="0" collapsed="false">
      <c r="A23" s="14" t="s">
        <v>124</v>
      </c>
      <c r="B23" s="21" t="n">
        <f aca="false">-MAX(0,'P&amp;L'!B23*Assumptions!B18)</f>
        <v>-0</v>
      </c>
      <c r="C23" s="21" t="n">
        <f aca="false">-MAX(0,'P&amp;L'!C23*Assumptions!C18)</f>
        <v>-98.84028</v>
      </c>
      <c r="D23" s="21" t="n">
        <f aca="false">-MAX(0,'P&amp;L'!D23*Assumptions!D18)</f>
        <v>-0</v>
      </c>
      <c r="E23" s="21" t="n">
        <f aca="false">-MAX(0,'P&amp;L'!E23*Assumptions!E18)</f>
        <v>-85.06624</v>
      </c>
      <c r="F23" s="21" t="n">
        <f aca="false">-MAX(0,'P&amp;L'!F23*Assumptions!F18)</f>
        <v>-557.59732</v>
      </c>
      <c r="G23" s="21" t="n">
        <f aca="false">-MAX(0,'P&amp;L'!G23*Assumptions!G18)</f>
        <v>-1250.61181056</v>
      </c>
      <c r="H23" s="21" t="n">
        <f aca="false">-MAX(0,'P&amp;L'!H23*Assumptions!H18)</f>
        <v>-1371.69225708</v>
      </c>
      <c r="I23" s="21" t="n">
        <f aca="false">-MAX(0,'P&amp;L'!I23*Assumptions!I18)</f>
        <v>-1919.2518765216</v>
      </c>
      <c r="J23" s="21" t="n">
        <f aca="false">-MAX(0,'P&amp;L'!J23*Assumptions!J18)</f>
        <v>-2332.3832196649</v>
      </c>
    </row>
    <row r="24" customFormat="false" ht="13.5" hidden="false" customHeight="true" outlineLevel="0" collapsed="false">
      <c r="A24" s="23" t="s">
        <v>125</v>
      </c>
      <c r="B24" s="24" t="n">
        <f aca="false">B22+B23</f>
        <v>-1923.503</v>
      </c>
      <c r="C24" s="24" t="n">
        <f aca="false">C22+C23</f>
        <v>-569.50828</v>
      </c>
      <c r="D24" s="24" t="n">
        <f aca="false">D22+D23</f>
        <v>-172.408</v>
      </c>
      <c r="E24" s="24" t="n">
        <f aca="false">E22+E23</f>
        <v>157.98016</v>
      </c>
      <c r="F24" s="24" t="n">
        <f aca="false">F22+F23</f>
        <v>1035.53788</v>
      </c>
      <c r="G24" s="24" t="n">
        <f aca="false">G22+G23</f>
        <v>2322.56479104</v>
      </c>
      <c r="H24" s="24" t="n">
        <f aca="false">H22+H23</f>
        <v>4115.07677124</v>
      </c>
      <c r="I24" s="24" t="n">
        <f aca="false">I22+I23</f>
        <v>5757.7556295648</v>
      </c>
      <c r="J24" s="24" t="n">
        <f aca="false">J22+J23</f>
        <v>6997.14965899469</v>
      </c>
    </row>
    <row r="25" customFormat="false" ht="12.75" hidden="false" customHeight="true" outlineLevel="0" collapsed="false">
      <c r="A25" s="14" t="s">
        <v>126</v>
      </c>
      <c r="B25" s="21" t="n">
        <f aca="false">-'P&amp;L'!B22</f>
        <v>437</v>
      </c>
      <c r="C25" s="21" t="n">
        <f aca="false">-'P&amp;L'!C22</f>
        <v>526</v>
      </c>
      <c r="D25" s="21" t="n">
        <f aca="false">-'P&amp;L'!D22</f>
        <v>863</v>
      </c>
      <c r="E25" s="21" t="n">
        <f aca="false">-'P&amp;L'!E22</f>
        <v>1275.9936</v>
      </c>
      <c r="F25" s="21" t="n">
        <f aca="false">-'P&amp;L'!F22</f>
        <v>1593.1352</v>
      </c>
      <c r="G25" s="21" t="n">
        <f aca="false">-'P&amp;L'!G22</f>
        <v>1885.8432064</v>
      </c>
      <c r="H25" s="21" t="n">
        <f aca="false">-'P&amp;L'!H22</f>
        <v>2101.31579808</v>
      </c>
      <c r="I25" s="21" t="n">
        <f aca="false">-'P&amp;L'!I22</f>
        <v>2250.1573724736</v>
      </c>
      <c r="J25" s="21" t="n">
        <f aca="false">-'P&amp;L'!J22</f>
        <v>2332.3832196649</v>
      </c>
    </row>
    <row r="26" customFormat="false" ht="12.75" hidden="false" customHeight="true" outlineLevel="0" collapsed="false">
      <c r="A26" s="14" t="s">
        <v>115</v>
      </c>
      <c r="B26" s="16" t="n">
        <f aca="false">'Cash Flow'!B12</f>
        <v>-845</v>
      </c>
      <c r="C26" s="16" t="n">
        <f aca="false">'Cash Flow'!C12</f>
        <v>-215</v>
      </c>
      <c r="D26" s="16" t="n">
        <f aca="false">'Cash Flow'!D12</f>
        <v>-936</v>
      </c>
      <c r="E26" s="16" t="n">
        <f aca="false">'Cash Flow'!E12</f>
        <v>-1670.944</v>
      </c>
      <c r="F26" s="16" t="n">
        <f aca="false">'Cash Flow'!F12</f>
        <v>-2389.7028</v>
      </c>
      <c r="G26" s="16" t="n">
        <f aca="false">'Cash Flow'!G12</f>
        <v>-2729.509904</v>
      </c>
      <c r="H26" s="16" t="n">
        <f aca="false">'Cash Flow'!H12</f>
        <v>-2918.494164</v>
      </c>
      <c r="I26" s="16" t="n">
        <f aca="false">'Cash Flow'!I12</f>
        <v>-2978.149463568</v>
      </c>
      <c r="J26" s="16" t="n">
        <f aca="false">'Cash Flow'!J12</f>
        <v>-2915.47902458112</v>
      </c>
    </row>
    <row r="27" customFormat="false" ht="12.75" hidden="false" customHeight="true" outlineLevel="0" collapsed="false">
      <c r="A27" s="14" t="s">
        <v>127</v>
      </c>
      <c r="B27" s="15" t="n">
        <v>-200</v>
      </c>
      <c r="C27" s="15" t="n">
        <v>100</v>
      </c>
      <c r="D27" s="15" t="n">
        <v>-150</v>
      </c>
      <c r="E27" s="16" t="n">
        <f aca="false">'Cash Flow'!E8</f>
        <v>-263.994</v>
      </c>
      <c r="F27" s="16" t="n">
        <f aca="false">'Cash Flow'!F8</f>
        <v>-283.4274</v>
      </c>
      <c r="G27" s="16" t="n">
        <f aca="false">'Cash Flow'!G8</f>
        <v>-293.972184</v>
      </c>
      <c r="H27" s="16" t="n">
        <f aca="false">'Cash Flow'!H8</f>
        <v>-174.8486096</v>
      </c>
      <c r="I27" s="16" t="n">
        <f aca="false">'Cash Flow'!I8</f>
        <v>-156.224318208</v>
      </c>
      <c r="J27" s="16" t="n">
        <f aca="false">'Cash Flow'!J8</f>
        <v>-134.11752848256</v>
      </c>
    </row>
    <row r="28" customFormat="false" ht="13.5" hidden="false" customHeight="true" outlineLevel="0" collapsed="false">
      <c r="A28" s="25" t="s">
        <v>128</v>
      </c>
      <c r="B28" s="26" t="n">
        <f aca="false">B24+B25+B26+B27</f>
        <v>-2531.503</v>
      </c>
      <c r="C28" s="26" t="n">
        <f aca="false">C24+C25+C26+C27</f>
        <v>-158.50828</v>
      </c>
      <c r="D28" s="26" t="n">
        <f aca="false">D24+D25+D26+D27</f>
        <v>-395.408</v>
      </c>
      <c r="E28" s="26" t="n">
        <f aca="false">E24+E25+E26+E27</f>
        <v>-500.96424</v>
      </c>
      <c r="F28" s="26" t="n">
        <f aca="false">F24+F25+F26+F27</f>
        <v>-44.4571199999999</v>
      </c>
      <c r="G28" s="26" t="n">
        <f aca="false">G24+G25+G26+G27</f>
        <v>1184.92590944</v>
      </c>
      <c r="H28" s="26" t="n">
        <f aca="false">H24+H25+H26+H27</f>
        <v>3123.04979572</v>
      </c>
      <c r="I28" s="26" t="n">
        <f aca="false">I24+I25+I26+I27</f>
        <v>4873.5392202624</v>
      </c>
      <c r="J28" s="26" t="n">
        <f aca="false">J24+J25+J26+J27</f>
        <v>6279.93632559591</v>
      </c>
    </row>
    <row r="29" customFormat="false" ht="12.75" hidden="false" customHeight="true" outlineLevel="0" collapsed="false">
      <c r="A29" s="14" t="s">
        <v>129</v>
      </c>
      <c r="B29" s="19" t="n">
        <f aca="false">IFERROR(B28/'P&amp;L'!B11,0)</f>
        <v>-0.29121166455769</v>
      </c>
      <c r="C29" s="19" t="n">
        <f aca="false">IFERROR(C28/'P&amp;L'!C11,0)</f>
        <v>-0.0114587059929155</v>
      </c>
      <c r="D29" s="19" t="n">
        <f aca="false">IFERROR(D28/'P&amp;L'!D11,0)</f>
        <v>-0.0183220425374172</v>
      </c>
      <c r="E29" s="19" t="n">
        <f aca="false">IFERROR(E28/'P&amp;L'!E11,0)</f>
        <v>-0.0164895012639562</v>
      </c>
      <c r="F29" s="19" t="n">
        <f aca="false">IFERROR(F28/'P&amp;L'!F11,0)</f>
        <v>-0.00111621712959452</v>
      </c>
      <c r="G29" s="19" t="n">
        <f aca="false">IFERROR(G28/'P&amp;L'!G11,0)</f>
        <v>0.0238764200575694</v>
      </c>
      <c r="H29" s="19" t="n">
        <f aca="false">IFERROR(H28/'P&amp;L'!H11,0)</f>
        <v>0.0535044721734109</v>
      </c>
      <c r="I29" s="19" t="n">
        <f aca="false">IFERROR(I28/'P&amp;L'!I11,0)</f>
        <v>0.0736394420745635</v>
      </c>
      <c r="J29" s="19" t="n">
        <f aca="false">IFERROR(J28/'P&amp;L'!J11,0)</f>
        <v>0.0861599246319142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" min="2" style="1" width="9"/>
  </cols>
  <sheetData>
    <row r="1" customFormat="false" ht="15.75" hidden="false" customHeight="true" outlineLevel="0" collapsed="false">
      <c r="A1" s="9" t="s">
        <v>130</v>
      </c>
      <c r="L1" s="1"/>
      <c r="M1" s="1"/>
      <c r="N1" s="1"/>
      <c r="O1" s="1"/>
    </row>
    <row r="2" customFormat="false" ht="12" hidden="false" customHeight="true" outlineLevel="0" collapsed="false">
      <c r="A2" s="10" t="s">
        <v>131</v>
      </c>
      <c r="L2" s="1"/>
      <c r="M2" s="1"/>
      <c r="N2" s="1"/>
      <c r="O2" s="1"/>
    </row>
    <row r="3" customFormat="false" ht="9.75" hidden="false" customHeight="true" outlineLevel="0" collapsed="false">
      <c r="L3" s="1"/>
      <c r="M3" s="1"/>
      <c r="N3" s="1"/>
      <c r="O3" s="1"/>
    </row>
    <row r="4" customFormat="false" ht="12.75" hidden="false" customHeight="true" outlineLevel="0" collapsed="false">
      <c r="A4" s="13" t="s">
        <v>132</v>
      </c>
      <c r="B4" s="4"/>
      <c r="C4" s="4"/>
      <c r="L4" s="1"/>
      <c r="M4" s="1"/>
      <c r="N4" s="1"/>
      <c r="O4" s="1"/>
    </row>
    <row r="5" customFormat="false" ht="12.75" hidden="false" customHeight="true" outlineLevel="0" collapsed="false">
      <c r="A5" s="14" t="s">
        <v>133</v>
      </c>
      <c r="B5" s="20" t="n">
        <v>0.07</v>
      </c>
      <c r="C5" s="10" t="s">
        <v>134</v>
      </c>
      <c r="L5" s="1"/>
      <c r="M5" s="1"/>
      <c r="N5" s="1"/>
      <c r="O5" s="1"/>
    </row>
    <row r="6" customFormat="false" ht="12.75" hidden="false" customHeight="true" outlineLevel="0" collapsed="false">
      <c r="A6" s="14" t="s">
        <v>135</v>
      </c>
      <c r="B6" s="20" t="n">
        <v>0.07</v>
      </c>
      <c r="C6" s="10" t="s">
        <v>136</v>
      </c>
      <c r="L6" s="1"/>
      <c r="M6" s="1"/>
      <c r="N6" s="1"/>
      <c r="O6" s="1"/>
    </row>
    <row r="7" customFormat="false" ht="12.75" hidden="false" customHeight="true" outlineLevel="0" collapsed="false">
      <c r="A7" s="14" t="s">
        <v>137</v>
      </c>
      <c r="B7" s="29" t="n">
        <v>1.25</v>
      </c>
      <c r="C7" s="10" t="s">
        <v>138</v>
      </c>
      <c r="L7" s="1"/>
      <c r="M7" s="1"/>
      <c r="N7" s="1"/>
      <c r="O7" s="1"/>
    </row>
    <row r="8" customFormat="false" ht="12.75" hidden="false" customHeight="true" outlineLevel="0" collapsed="false">
      <c r="A8" s="23" t="s">
        <v>139</v>
      </c>
      <c r="B8" s="30" t="n">
        <f aca="false">B5+B7*B6</f>
        <v>0.1575</v>
      </c>
      <c r="C8" s="8" t="s">
        <v>140</v>
      </c>
      <c r="L8" s="1"/>
      <c r="M8" s="1"/>
      <c r="N8" s="1"/>
      <c r="O8" s="1"/>
    </row>
    <row r="9" customFormat="false" ht="3" hidden="false" customHeight="true" outlineLevel="0" collapsed="false">
      <c r="L9" s="1"/>
      <c r="M9" s="1"/>
      <c r="N9" s="1"/>
      <c r="O9" s="1"/>
    </row>
    <row r="10" customFormat="false" ht="12.75" hidden="false" customHeight="true" outlineLevel="0" collapsed="false">
      <c r="A10" s="13" t="s">
        <v>141</v>
      </c>
      <c r="B10" s="4"/>
      <c r="C10" s="4"/>
      <c r="L10" s="1"/>
      <c r="M10" s="1"/>
      <c r="N10" s="1"/>
      <c r="O10" s="1"/>
    </row>
    <row r="11" customFormat="false" ht="12.75" hidden="false" customHeight="true" outlineLevel="0" collapsed="false">
      <c r="A11" s="14" t="s">
        <v>142</v>
      </c>
      <c r="B11" s="20" t="n">
        <v>0.095</v>
      </c>
      <c r="C11" s="10" t="s">
        <v>143</v>
      </c>
      <c r="L11" s="1"/>
      <c r="M11" s="1"/>
      <c r="N11" s="1"/>
      <c r="O11" s="1"/>
    </row>
    <row r="12" customFormat="false" ht="12.75" hidden="false" customHeight="true" outlineLevel="0" collapsed="false">
      <c r="A12" s="14" t="s">
        <v>144</v>
      </c>
      <c r="B12" s="20" t="n">
        <v>0.25</v>
      </c>
      <c r="C12" s="10" t="s">
        <v>145</v>
      </c>
      <c r="L12" s="1"/>
      <c r="M12" s="1"/>
      <c r="N12" s="1"/>
      <c r="O12" s="1"/>
    </row>
    <row r="13" customFormat="false" ht="12.75" hidden="false" customHeight="true" outlineLevel="0" collapsed="false">
      <c r="A13" s="23" t="s">
        <v>146</v>
      </c>
      <c r="B13" s="30" t="n">
        <f aca="false">B11*(1-B12)</f>
        <v>0.07125</v>
      </c>
      <c r="L13" s="1"/>
      <c r="M13" s="1"/>
      <c r="N13" s="1"/>
      <c r="O13" s="1"/>
    </row>
    <row r="14" customFormat="false" ht="3" hidden="false" customHeight="true" outlineLevel="0" collapsed="false">
      <c r="L14" s="1"/>
      <c r="M14" s="1"/>
      <c r="N14" s="1"/>
      <c r="O14" s="1"/>
    </row>
    <row r="15" customFormat="false" ht="12.75" hidden="false" customHeight="true" outlineLevel="0" collapsed="false">
      <c r="A15" s="13" t="s">
        <v>147</v>
      </c>
      <c r="B15" s="4"/>
      <c r="C15" s="4"/>
      <c r="L15" s="1"/>
      <c r="M15" s="1"/>
      <c r="N15" s="1"/>
      <c r="O15" s="1"/>
    </row>
    <row r="16" customFormat="false" ht="12.75" hidden="false" customHeight="true" outlineLevel="0" collapsed="false">
      <c r="A16" s="14" t="s">
        <v>148</v>
      </c>
      <c r="B16" s="31" t="n">
        <v>235276</v>
      </c>
      <c r="C16" s="10" t="s">
        <v>149</v>
      </c>
      <c r="L16" s="1"/>
      <c r="M16" s="1"/>
      <c r="N16" s="1"/>
      <c r="O16" s="1"/>
    </row>
    <row r="17" customFormat="false" ht="12.75" hidden="false" customHeight="true" outlineLevel="0" collapsed="false">
      <c r="A17" s="14" t="s">
        <v>150</v>
      </c>
      <c r="B17" s="31" t="n">
        <v>2045</v>
      </c>
      <c r="C17" s="10" t="s">
        <v>151</v>
      </c>
      <c r="L17" s="1"/>
      <c r="M17" s="1"/>
      <c r="N17" s="1"/>
      <c r="O17" s="1"/>
    </row>
    <row r="18" customFormat="false" ht="12.75" hidden="false" customHeight="true" outlineLevel="0" collapsed="false">
      <c r="A18" s="14" t="s">
        <v>152</v>
      </c>
      <c r="B18" s="32" t="n">
        <f aca="false">B16+B17</f>
        <v>237321</v>
      </c>
      <c r="L18" s="1"/>
      <c r="M18" s="1"/>
      <c r="N18" s="1"/>
      <c r="O18" s="1"/>
    </row>
    <row r="19" customFormat="false" ht="12.75" hidden="false" customHeight="true" outlineLevel="0" collapsed="false">
      <c r="A19" s="14" t="s">
        <v>153</v>
      </c>
      <c r="B19" s="33" t="n">
        <f aca="false">B16/B18</f>
        <v>0.99138297917167</v>
      </c>
      <c r="C19" s="8" t="s">
        <v>154</v>
      </c>
      <c r="L19" s="1"/>
      <c r="M19" s="1"/>
      <c r="N19" s="1"/>
      <c r="O19" s="1"/>
    </row>
    <row r="20" customFormat="false" ht="12.75" hidden="false" customHeight="true" outlineLevel="0" collapsed="false">
      <c r="A20" s="14" t="s">
        <v>155</v>
      </c>
      <c r="B20" s="33" t="n">
        <f aca="false">B17/B18</f>
        <v>0.00861702082832956</v>
      </c>
      <c r="L20" s="1"/>
      <c r="M20" s="1"/>
      <c r="N20" s="1"/>
      <c r="O20" s="1"/>
    </row>
    <row r="21" customFormat="false" ht="3" hidden="false" customHeight="true" outlineLevel="0" collapsed="false">
      <c r="L21" s="1"/>
      <c r="M21" s="1"/>
      <c r="N21" s="1"/>
      <c r="O21" s="1"/>
    </row>
    <row r="22" customFormat="false" ht="12.75" hidden="false" customHeight="true" outlineLevel="0" collapsed="false">
      <c r="A22" s="13" t="s">
        <v>156</v>
      </c>
      <c r="B22" s="4"/>
      <c r="C22" s="4"/>
      <c r="L22" s="1"/>
      <c r="M22" s="1"/>
      <c r="N22" s="1"/>
      <c r="O22" s="1"/>
    </row>
    <row r="23" customFormat="false" ht="13.5" hidden="false" customHeight="true" outlineLevel="0" collapsed="false">
      <c r="A23" s="34" t="s">
        <v>157</v>
      </c>
      <c r="B23" s="35" t="n">
        <f aca="false">B19*B8+B20*B13</f>
        <v>0.156756781953557</v>
      </c>
      <c r="C23" s="8" t="s">
        <v>158</v>
      </c>
      <c r="L23" s="1"/>
      <c r="M23" s="1"/>
      <c r="N23" s="1"/>
      <c r="O23" s="1"/>
    </row>
    <row r="24" customFormat="false" ht="3" hidden="false" customHeight="true" outlineLevel="0" collapsed="false">
      <c r="L24" s="1"/>
      <c r="M24" s="1"/>
      <c r="N24" s="1"/>
      <c r="O24" s="1"/>
    </row>
    <row r="25" customFormat="false" ht="12.75" hidden="false" customHeight="true" outlineLevel="0" collapsed="false">
      <c r="A25" s="13" t="s">
        <v>159</v>
      </c>
      <c r="B25" s="4"/>
      <c r="C25" s="4"/>
      <c r="L25" s="1"/>
      <c r="M25" s="1"/>
      <c r="N25" s="1"/>
      <c r="O25" s="1"/>
    </row>
    <row r="26" customFormat="false" ht="15" hidden="false" customHeight="true" outlineLevel="0" collapsed="false">
      <c r="A26" s="11" t="s">
        <v>160</v>
      </c>
      <c r="B26" s="36" t="n">
        <v>0.06</v>
      </c>
      <c r="C26" s="36" t="n">
        <v>0.065</v>
      </c>
      <c r="D26" s="37" t="n">
        <v>0.07</v>
      </c>
      <c r="E26" s="37" t="n">
        <v>0.075</v>
      </c>
      <c r="F26" s="37" t="n">
        <v>0.08</v>
      </c>
      <c r="L26" s="1"/>
      <c r="M26" s="1"/>
      <c r="N26" s="1"/>
      <c r="O26" s="1"/>
    </row>
    <row r="27" customFormat="false" ht="15" hidden="false" customHeight="true" outlineLevel="0" collapsed="false">
      <c r="A27" s="38" t="n">
        <v>1</v>
      </c>
      <c r="B27" s="39" t="n">
        <v>0.129488875</v>
      </c>
      <c r="C27" s="39" t="n">
        <v>0.134445375</v>
      </c>
      <c r="D27" s="39" t="n">
        <v>0.139401875</v>
      </c>
      <c r="E27" s="39" t="n">
        <v>0.144358375</v>
      </c>
      <c r="F27" s="39" t="n">
        <v>0.149314875</v>
      </c>
      <c r="L27" s="1"/>
      <c r="M27" s="1"/>
      <c r="N27" s="1"/>
      <c r="O27" s="1"/>
    </row>
    <row r="28" customFormat="false" ht="15" hidden="false" customHeight="true" outlineLevel="0" collapsed="false">
      <c r="A28" s="38" t="n">
        <v>1.1</v>
      </c>
      <c r="B28" s="39" t="n">
        <v>0.135436675</v>
      </c>
      <c r="C28" s="39" t="n">
        <v>0.140888825</v>
      </c>
      <c r="D28" s="39" t="n">
        <v>0.146340975</v>
      </c>
      <c r="E28" s="39" t="n">
        <v>0.151793125</v>
      </c>
      <c r="F28" s="39" t="n">
        <v>0.157245275</v>
      </c>
      <c r="L28" s="1"/>
      <c r="M28" s="1"/>
      <c r="N28" s="1"/>
      <c r="O28" s="1"/>
    </row>
    <row r="29" customFormat="false" ht="15" hidden="false" customHeight="true" outlineLevel="0" collapsed="false">
      <c r="A29" s="38" t="n">
        <v>1.25</v>
      </c>
      <c r="B29" s="39" t="n">
        <v>0.144358375</v>
      </c>
      <c r="C29" s="39" t="n">
        <v>0.150554</v>
      </c>
      <c r="D29" s="40" t="n">
        <v>0.156749625</v>
      </c>
      <c r="E29" s="39" t="n">
        <v>0.16294525</v>
      </c>
      <c r="F29" s="39" t="n">
        <v>0.169140875</v>
      </c>
      <c r="L29" s="1"/>
      <c r="M29" s="1"/>
      <c r="N29" s="1"/>
      <c r="O29" s="1"/>
    </row>
    <row r="30" customFormat="false" ht="15" hidden="false" customHeight="true" outlineLevel="0" collapsed="false">
      <c r="A30" s="38" t="n">
        <v>1.4</v>
      </c>
      <c r="B30" s="39" t="n">
        <v>0.153280075</v>
      </c>
      <c r="C30" s="39" t="n">
        <v>0.160219175</v>
      </c>
      <c r="D30" s="39" t="n">
        <v>0.167158275</v>
      </c>
      <c r="E30" s="39" t="n">
        <v>0.174097375</v>
      </c>
      <c r="F30" s="39" t="n">
        <v>0.181036475</v>
      </c>
      <c r="L30" s="1"/>
      <c r="M30" s="1"/>
      <c r="N30" s="1"/>
      <c r="O30" s="1"/>
    </row>
    <row r="31" customFormat="false" ht="15" hidden="false" customHeight="true" outlineLevel="0" collapsed="false">
      <c r="A31" s="38" t="n">
        <v>1.5</v>
      </c>
      <c r="B31" s="39" t="n">
        <v>0.159227875</v>
      </c>
      <c r="C31" s="39" t="n">
        <v>0.166662625</v>
      </c>
      <c r="D31" s="39" t="n">
        <v>0.174097375</v>
      </c>
      <c r="E31" s="39" t="n">
        <v>0.181532125</v>
      </c>
      <c r="F31" s="39" t="n">
        <v>0.188966875</v>
      </c>
      <c r="L31" s="1"/>
      <c r="M31" s="1"/>
      <c r="N31" s="1"/>
      <c r="O3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1" min="2" style="1" width="13"/>
  </cols>
  <sheetData>
    <row r="1" customFormat="false" ht="15.75" hidden="false" customHeight="true" outlineLevel="0" collapsed="false">
      <c r="A1" s="9" t="s">
        <v>161</v>
      </c>
    </row>
    <row r="2" customFormat="false" ht="12" hidden="false" customHeight="true" outlineLevel="0" collapsed="false">
      <c r="A2" s="10" t="s">
        <v>162</v>
      </c>
    </row>
    <row r="3" customFormat="false" ht="9.75" hidden="false" customHeight="true" outlineLevel="0" collapsed="false"/>
    <row r="4" customFormat="false" ht="15" hidden="false" customHeight="true" outlineLevel="0" collapsed="false">
      <c r="A4" s="41" t="s">
        <v>37</v>
      </c>
      <c r="B4" s="12" t="s">
        <v>41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</row>
    <row r="5" customFormat="false" ht="12.75" hidden="false" customHeight="true" outlineLevel="0" collapsed="false">
      <c r="A5" s="13" t="s">
        <v>163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2.75" hidden="false" customHeight="true" outlineLevel="0" collapsed="false">
      <c r="A6" s="14" t="s">
        <v>164</v>
      </c>
      <c r="B6" s="21" t="n">
        <f aca="false">'P&amp;L'!E11</f>
        <v>30380.8</v>
      </c>
      <c r="C6" s="21" t="n">
        <f aca="false">'P&amp;L'!F11</f>
        <v>39828.38</v>
      </c>
      <c r="D6" s="21" t="n">
        <f aca="false">'P&amp;L'!G11</f>
        <v>49627.4528</v>
      </c>
      <c r="E6" s="21" t="n">
        <f aca="false">'P&amp;L'!H11</f>
        <v>58369.88328</v>
      </c>
      <c r="F6" s="21" t="n">
        <f aca="false">'P&amp;L'!I11</f>
        <v>66181.0991904</v>
      </c>
      <c r="G6" s="21" t="n">
        <f aca="false">'P&amp;L'!J11</f>
        <v>72886.975614528</v>
      </c>
    </row>
    <row r="7" customFormat="false" ht="13.5" hidden="false" customHeight="true" outlineLevel="0" collapsed="false">
      <c r="A7" s="23" t="s">
        <v>128</v>
      </c>
      <c r="B7" s="42" t="n">
        <f aca="false">'Cash Flow'!E28</f>
        <v>-500.96424</v>
      </c>
      <c r="C7" s="42" t="n">
        <f aca="false">'Cash Flow'!F28</f>
        <v>-44.4571199999999</v>
      </c>
      <c r="D7" s="42" t="n">
        <f aca="false">'Cash Flow'!G28</f>
        <v>1184.92590944</v>
      </c>
      <c r="E7" s="42" t="n">
        <f aca="false">'Cash Flow'!H28</f>
        <v>3123.04979572</v>
      </c>
      <c r="F7" s="42" t="n">
        <f aca="false">'Cash Flow'!I28</f>
        <v>4873.5392202624</v>
      </c>
      <c r="G7" s="42" t="n">
        <f aca="false">'Cash Flow'!J28</f>
        <v>6279.93632559591</v>
      </c>
    </row>
    <row r="8" customFormat="false" ht="12.75" hidden="false" customHeight="true" outlineLevel="0" collapsed="false">
      <c r="A8" s="14" t="s">
        <v>129</v>
      </c>
      <c r="B8" s="19" t="n">
        <f aca="false">IFERROR(B7/B6,0)</f>
        <v>-0.0164895012639562</v>
      </c>
      <c r="C8" s="19" t="n">
        <f aca="false">IFERROR(C7/C6,0)</f>
        <v>-0.00111621712959452</v>
      </c>
      <c r="D8" s="19" t="n">
        <f aca="false">IFERROR(D7/D6,0)</f>
        <v>0.0238764200575694</v>
      </c>
      <c r="E8" s="19" t="n">
        <f aca="false">IFERROR(E7/E6,0)</f>
        <v>0.0535044721734109</v>
      </c>
      <c r="F8" s="19" t="n">
        <f aca="false">IFERROR(F7/F6,0)</f>
        <v>0.0736394420745635</v>
      </c>
      <c r="G8" s="19" t="n">
        <f aca="false">IFERROR(G7/G6,0)</f>
        <v>0.0861599246319142</v>
      </c>
    </row>
    <row r="9" customFormat="false" ht="3" hidden="false" customHeight="true" outlineLevel="0" collapsed="false"/>
    <row r="10" customFormat="false" ht="12.75" hidden="false" customHeight="true" outlineLevel="0" collapsed="false">
      <c r="A10" s="13" t="s">
        <v>165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2.75" hidden="false" customHeight="true" outlineLevel="0" collapsed="false">
      <c r="A11" s="14" t="s">
        <v>166</v>
      </c>
      <c r="B11" s="43" t="n">
        <f aca="false">WACC!B23</f>
        <v>0.156756781953557</v>
      </c>
      <c r="C11" s="43" t="n">
        <f aca="false">WACC!B23</f>
        <v>0.156756781953557</v>
      </c>
      <c r="D11" s="43" t="n">
        <f aca="false">WACC!B23</f>
        <v>0.156756781953557</v>
      </c>
      <c r="E11" s="43" t="n">
        <f aca="false">WACC!B23</f>
        <v>0.156756781953557</v>
      </c>
      <c r="F11" s="43" t="n">
        <f aca="false">WACC!B23</f>
        <v>0.156756781953557</v>
      </c>
      <c r="G11" s="43" t="n">
        <f aca="false">WACC!B23</f>
        <v>0.156756781953557</v>
      </c>
    </row>
    <row r="12" customFormat="false" ht="12.75" hidden="false" customHeight="true" outlineLevel="0" collapsed="false">
      <c r="A12" s="14" t="s">
        <v>167</v>
      </c>
      <c r="B12" s="44" t="n">
        <v>0.5</v>
      </c>
      <c r="C12" s="44" t="n">
        <v>1.5</v>
      </c>
      <c r="D12" s="44" t="n">
        <v>2.5</v>
      </c>
      <c r="E12" s="44" t="n">
        <v>3.5</v>
      </c>
      <c r="F12" s="44" t="n">
        <v>4.5</v>
      </c>
      <c r="G12" s="44" t="n">
        <v>5.5</v>
      </c>
    </row>
    <row r="13" customFormat="false" ht="12.75" hidden="false" customHeight="true" outlineLevel="0" collapsed="false">
      <c r="A13" s="14" t="s">
        <v>168</v>
      </c>
      <c r="B13" s="45" t="n">
        <f aca="false">1/(1+B11)^B12</f>
        <v>0.929777372534918</v>
      </c>
      <c r="C13" s="45" t="n">
        <f aca="false">1/(1+C11)^C12</f>
        <v>0.803779486786055</v>
      </c>
      <c r="D13" s="45" t="n">
        <f aca="false">1/(1+D11)^D12</f>
        <v>0.694856083254264</v>
      </c>
      <c r="E13" s="45" t="n">
        <f aca="false">1/(1+E11)^E12</f>
        <v>0.600693329915711</v>
      </c>
      <c r="F13" s="45" t="n">
        <f aca="false">1/(1+F11)^F12</f>
        <v>0.519290951466259</v>
      </c>
      <c r="G13" s="45" t="n">
        <f aca="false">1/(1+G11)^G12</f>
        <v>0.448919737984392</v>
      </c>
    </row>
    <row r="14" customFormat="false" ht="13.5" hidden="false" customHeight="true" outlineLevel="0" collapsed="false">
      <c r="A14" s="23" t="s">
        <v>169</v>
      </c>
      <c r="B14" s="24" t="n">
        <f aca="false">B7*B13</f>
        <v>-465.785214801152</v>
      </c>
      <c r="C14" s="24" t="n">
        <f aca="false">C7*C13</f>
        <v>-35.733721097586</v>
      </c>
      <c r="D14" s="24" t="n">
        <f aca="false">D7*D13</f>
        <v>823.352976379975</v>
      </c>
      <c r="E14" s="24" t="n">
        <f aca="false">E7*E13</f>
        <v>1875.99518128363</v>
      </c>
      <c r="F14" s="24" t="n">
        <f aca="false">F7*F13</f>
        <v>2530.78481869819</v>
      </c>
      <c r="G14" s="24" t="n">
        <f aca="false">G7*G13</f>
        <v>2819.18736984518</v>
      </c>
    </row>
    <row r="15" customFormat="false" ht="3" hidden="false" customHeight="true" outlineLevel="0" collapsed="false"/>
    <row r="16" customFormat="false" ht="12.75" hidden="false" customHeight="true" outlineLevel="0" collapsed="false">
      <c r="A16" s="13" t="s">
        <v>170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2.75" hidden="false" customHeight="true" outlineLevel="0" collapsed="false">
      <c r="A17" s="14" t="s">
        <v>171</v>
      </c>
      <c r="B17" s="20" t="n">
        <v>0.055</v>
      </c>
      <c r="C17" s="10" t="s">
        <v>172</v>
      </c>
    </row>
    <row r="18" customFormat="false" ht="12.75" hidden="false" customHeight="true" outlineLevel="0" collapsed="false">
      <c r="A18" s="14" t="s">
        <v>173</v>
      </c>
      <c r="B18" s="16" t="n">
        <f aca="false">'Cash Flow'!J28</f>
        <v>6279.93632559591</v>
      </c>
    </row>
    <row r="19" customFormat="false" ht="12.75" hidden="false" customHeight="true" outlineLevel="0" collapsed="false">
      <c r="A19" s="14" t="s">
        <v>174</v>
      </c>
      <c r="B19" s="16" t="n">
        <f aca="false">B18*(1+B17)/(WACC!B23-B17)</f>
        <v>65109.4963530547</v>
      </c>
      <c r="C19" s="10" t="s">
        <v>175</v>
      </c>
    </row>
    <row r="20" customFormat="false" ht="12.75" hidden="false" customHeight="true" outlineLevel="0" collapsed="false">
      <c r="A20" s="23" t="s">
        <v>176</v>
      </c>
      <c r="B20" s="24" t="n">
        <f aca="false">B19/(1+WACC!B23)^6</f>
        <v>27176.4052157079</v>
      </c>
    </row>
    <row r="21" customFormat="false" ht="3" hidden="false" customHeight="true" outlineLevel="0" collapsed="false"/>
    <row r="22" customFormat="false" ht="12.75" hidden="false" customHeight="true" outlineLevel="0" collapsed="false">
      <c r="A22" s="13" t="s">
        <v>177</v>
      </c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2.75" hidden="false" customHeight="true" outlineLevel="0" collapsed="false">
      <c r="A23" s="14" t="s">
        <v>178</v>
      </c>
      <c r="B23" s="16" t="n">
        <f aca="false">SUM(B14:G14)</f>
        <v>7547.80141030824</v>
      </c>
    </row>
    <row r="24" customFormat="false" ht="12.75" hidden="false" customHeight="true" outlineLevel="0" collapsed="false">
      <c r="A24" s="14" t="s">
        <v>179</v>
      </c>
      <c r="B24" s="21" t="n">
        <f aca="false">B20</f>
        <v>27176.4052157079</v>
      </c>
    </row>
    <row r="25" customFormat="false" ht="13.5" hidden="false" customHeight="true" outlineLevel="0" collapsed="false">
      <c r="A25" s="46" t="s">
        <v>180</v>
      </c>
      <c r="B25" s="47" t="n">
        <f aca="false">B23+B24</f>
        <v>34724.2066260161</v>
      </c>
    </row>
    <row r="26" customFormat="false" ht="12.75" hidden="false" customHeight="true" outlineLevel="0" collapsed="false">
      <c r="A26" s="14" t="s">
        <v>181</v>
      </c>
      <c r="B26" s="15" t="n">
        <v>5886</v>
      </c>
    </row>
    <row r="27" customFormat="false" ht="12.75" hidden="false" customHeight="true" outlineLevel="0" collapsed="false">
      <c r="A27" s="14" t="s">
        <v>182</v>
      </c>
      <c r="B27" s="15" t="n">
        <v>-2045</v>
      </c>
    </row>
    <row r="28" customFormat="false" ht="13.5" hidden="false" customHeight="true" outlineLevel="0" collapsed="false">
      <c r="A28" s="46" t="s">
        <v>183</v>
      </c>
      <c r="B28" s="47" t="n">
        <f aca="false">B25+B26+B27</f>
        <v>38565.2066260161</v>
      </c>
    </row>
    <row r="29" customFormat="false" ht="12.75" hidden="false" customHeight="true" outlineLevel="0" collapsed="false">
      <c r="A29" s="14" t="s">
        <v>184</v>
      </c>
      <c r="B29" s="31" t="n">
        <v>964</v>
      </c>
    </row>
    <row r="30" customFormat="false" ht="13.5" hidden="false" customHeight="true" outlineLevel="0" collapsed="false">
      <c r="A30" s="48" t="s">
        <v>185</v>
      </c>
      <c r="B30" s="49" t="n">
        <f aca="false">B28/B29</f>
        <v>40.0054010643321</v>
      </c>
    </row>
    <row r="31" customFormat="false" ht="12.75" hidden="false" customHeight="true" outlineLevel="0" collapsed="false">
      <c r="A31" s="14" t="s">
        <v>186</v>
      </c>
      <c r="B31" s="50" t="n">
        <v>244</v>
      </c>
    </row>
    <row r="32" customFormat="false" ht="12.75" hidden="false" customHeight="true" outlineLevel="0" collapsed="false">
      <c r="A32" s="14" t="s">
        <v>187</v>
      </c>
      <c r="B32" s="39" t="n">
        <f aca="false">(B30-B31)/B31</f>
        <v>-0.836043438260934</v>
      </c>
    </row>
    <row r="33" customFormat="false" ht="3" hidden="false" customHeight="true" outlineLevel="0" collapsed="false"/>
    <row r="34" customFormat="false" ht="12.75" hidden="false" customHeight="true" outlineLevel="0" collapsed="false">
      <c r="A34" s="13" t="s">
        <v>188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2.75" hidden="false" customHeight="true" outlineLevel="0" collapsed="false">
      <c r="A35" s="51" t="s">
        <v>189</v>
      </c>
      <c r="B35" s="19" t="n">
        <f aca="false">B20/B25</f>
        <v>0.782635741930724</v>
      </c>
    </row>
    <row r="36" customFormat="false" ht="12.75" hidden="false" customHeight="true" outlineLevel="0" collapsed="false">
      <c r="A36" s="51" t="s">
        <v>190</v>
      </c>
      <c r="B36" s="52" t="n">
        <f aca="false">B25/B6</f>
        <v>1.14296551196861</v>
      </c>
    </row>
    <row r="37" customFormat="false" ht="12.75" hidden="false" customHeight="true" outlineLevel="0" collapsed="false">
      <c r="A37" s="51" t="s">
        <v>191</v>
      </c>
      <c r="B37" s="52" t="n">
        <f aca="false">B25/'P&amp;L'!J20</f>
        <v>2.97757301057972</v>
      </c>
    </row>
    <row r="38" customFormat="false" ht="12.75" hidden="false" customHeight="true" outlineLevel="0" collapsed="false">
      <c r="A38" s="51" t="s">
        <v>192</v>
      </c>
      <c r="B38" s="52" t="n">
        <f aca="false">B30/('P&amp;L'!E30/ 964)</f>
        <v>51.9061055762459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1" min="2" style="1" width="13"/>
  </cols>
  <sheetData>
    <row r="1" customFormat="false" ht="15.75" hidden="false" customHeight="true" outlineLevel="0" collapsed="false">
      <c r="A1" s="9" t="s">
        <v>193</v>
      </c>
    </row>
    <row r="2" customFormat="false" ht="12" hidden="false" customHeight="true" outlineLevel="0" collapsed="false">
      <c r="A2" s="10" t="s">
        <v>194</v>
      </c>
    </row>
    <row r="3" customFormat="false" ht="9.75" hidden="false" customHeight="true" outlineLevel="0" collapsed="false"/>
    <row r="4" customFormat="false" ht="12.75" hidden="false" customHeight="true" outlineLevel="0" collapsed="false">
      <c r="A4" s="53" t="s">
        <v>195</v>
      </c>
      <c r="B4" s="4"/>
      <c r="C4" s="4"/>
      <c r="D4" s="4"/>
      <c r="E4" s="4"/>
      <c r="F4" s="4"/>
      <c r="G4" s="4"/>
      <c r="H4" s="4"/>
      <c r="I4" s="4"/>
    </row>
    <row r="5" customFormat="false" ht="12.75" hidden="false" customHeight="true" outlineLevel="0" collapsed="false">
      <c r="A5" s="8" t="s">
        <v>196</v>
      </c>
    </row>
    <row r="6" customFormat="false" ht="12.75" hidden="false" customHeight="true" outlineLevel="0" collapsed="false">
      <c r="A6" s="12" t="s">
        <v>197</v>
      </c>
      <c r="B6" s="36" t="n">
        <v>0.04</v>
      </c>
      <c r="C6" s="36" t="n">
        <v>0.045</v>
      </c>
      <c r="D6" s="36" t="n">
        <v>0.05</v>
      </c>
      <c r="E6" s="36" t="n">
        <v>0.055</v>
      </c>
      <c r="F6" s="36" t="n">
        <v>0.06</v>
      </c>
      <c r="G6" s="36" t="n">
        <v>0.065</v>
      </c>
      <c r="H6" s="36" t="n">
        <v>0.07</v>
      </c>
    </row>
    <row r="7" customFormat="false" ht="12.75" hidden="false" customHeight="true" outlineLevel="0" collapsed="false">
      <c r="A7" s="54" t="n">
        <v>0.12</v>
      </c>
      <c r="B7" s="55" t="n">
        <v>56</v>
      </c>
      <c r="C7" s="55" t="n">
        <v>59</v>
      </c>
      <c r="D7" s="55" t="n">
        <v>63</v>
      </c>
      <c r="E7" s="55" t="n">
        <v>67</v>
      </c>
      <c r="F7" s="55" t="n">
        <v>71</v>
      </c>
      <c r="G7" s="55" t="n">
        <v>77</v>
      </c>
      <c r="H7" s="55" t="n">
        <v>84</v>
      </c>
    </row>
    <row r="8" customFormat="false" ht="12.75" hidden="false" customHeight="true" outlineLevel="0" collapsed="false">
      <c r="A8" s="54" t="n">
        <v>0.13</v>
      </c>
      <c r="B8" s="55" t="n">
        <v>49</v>
      </c>
      <c r="C8" s="55" t="n">
        <v>51</v>
      </c>
      <c r="D8" s="55" t="n">
        <v>54</v>
      </c>
      <c r="E8" s="55" t="n">
        <v>57</v>
      </c>
      <c r="F8" s="55" t="n">
        <v>60</v>
      </c>
      <c r="G8" s="55" t="n">
        <v>64</v>
      </c>
      <c r="H8" s="55" t="n">
        <v>69</v>
      </c>
    </row>
    <row r="9" customFormat="false" ht="12.75" hidden="false" customHeight="true" outlineLevel="0" collapsed="false">
      <c r="A9" s="54" t="n">
        <v>0.14</v>
      </c>
      <c r="B9" s="55" t="n">
        <v>43</v>
      </c>
      <c r="C9" s="55" t="n">
        <v>45</v>
      </c>
      <c r="D9" s="55" t="n">
        <v>47</v>
      </c>
      <c r="E9" s="55" t="n">
        <v>49</v>
      </c>
      <c r="F9" s="55" t="n">
        <v>52</v>
      </c>
      <c r="G9" s="55" t="n">
        <v>55</v>
      </c>
      <c r="H9" s="55" t="n">
        <v>58</v>
      </c>
    </row>
    <row r="10" customFormat="false" ht="12.75" hidden="false" customHeight="true" outlineLevel="0" collapsed="false">
      <c r="A10" s="54" t="n">
        <v>0.145</v>
      </c>
      <c r="B10" s="55" t="n">
        <v>41</v>
      </c>
      <c r="C10" s="55" t="n">
        <v>42</v>
      </c>
      <c r="D10" s="55" t="n">
        <v>44</v>
      </c>
      <c r="E10" s="56" t="n">
        <v>46</v>
      </c>
      <c r="F10" s="55" t="n">
        <v>48</v>
      </c>
      <c r="G10" s="55" t="n">
        <v>51</v>
      </c>
      <c r="H10" s="55" t="n">
        <v>53</v>
      </c>
    </row>
    <row r="11" customFormat="false" ht="12.75" hidden="false" customHeight="true" outlineLevel="0" collapsed="false">
      <c r="A11" s="54" t="n">
        <v>0.15</v>
      </c>
      <c r="B11" s="55" t="n">
        <v>39</v>
      </c>
      <c r="C11" s="55" t="n">
        <v>40</v>
      </c>
      <c r="D11" s="55" t="n">
        <v>42</v>
      </c>
      <c r="E11" s="55" t="n">
        <v>43</v>
      </c>
      <c r="F11" s="55" t="n">
        <v>45</v>
      </c>
      <c r="G11" s="55" t="n">
        <v>47</v>
      </c>
      <c r="H11" s="55" t="n">
        <v>50</v>
      </c>
    </row>
    <row r="12" customFormat="false" ht="12.75" hidden="false" customHeight="true" outlineLevel="0" collapsed="false">
      <c r="A12" s="54" t="n">
        <v>0.16</v>
      </c>
      <c r="B12" s="55" t="n">
        <v>35</v>
      </c>
      <c r="C12" s="55" t="n">
        <v>36</v>
      </c>
      <c r="D12" s="55" t="n">
        <v>37</v>
      </c>
      <c r="E12" s="55" t="n">
        <v>39</v>
      </c>
      <c r="F12" s="55" t="n">
        <v>40</v>
      </c>
      <c r="G12" s="55" t="n">
        <v>42</v>
      </c>
      <c r="H12" s="55" t="n">
        <v>44</v>
      </c>
    </row>
    <row r="13" customFormat="false" ht="12.75" hidden="false" customHeight="true" outlineLevel="0" collapsed="false">
      <c r="A13" s="54" t="n">
        <v>0.17</v>
      </c>
      <c r="B13" s="55" t="n">
        <v>32</v>
      </c>
      <c r="C13" s="55" t="n">
        <v>33</v>
      </c>
      <c r="D13" s="55" t="n">
        <v>34</v>
      </c>
      <c r="E13" s="55" t="n">
        <v>35</v>
      </c>
      <c r="F13" s="55" t="n">
        <v>36</v>
      </c>
      <c r="G13" s="55" t="n">
        <v>37</v>
      </c>
      <c r="H13" s="55" t="n">
        <v>39</v>
      </c>
    </row>
    <row r="14" customFormat="false" ht="6" hidden="false" customHeight="true" outlineLevel="0" collapsed="false"/>
    <row r="15" customFormat="false" ht="12.75" hidden="false" customHeight="true" outlineLevel="0" collapsed="false">
      <c r="A15" s="53" t="s">
        <v>198</v>
      </c>
      <c r="B15" s="4"/>
      <c r="C15" s="4"/>
      <c r="D15" s="4"/>
      <c r="E15" s="4"/>
      <c r="F15" s="4"/>
      <c r="G15" s="4"/>
      <c r="H15" s="4"/>
      <c r="I15" s="4"/>
    </row>
    <row r="16" customFormat="false" ht="12.75" hidden="false" customHeight="true" outlineLevel="0" collapsed="false">
      <c r="A16" s="8" t="s">
        <v>199</v>
      </c>
    </row>
    <row r="17" customFormat="false" ht="12.75" hidden="false" customHeight="true" outlineLevel="0" collapsed="false">
      <c r="A17" s="12" t="s">
        <v>200</v>
      </c>
      <c r="B17" s="57" t="n">
        <v>0.1</v>
      </c>
      <c r="C17" s="57" t="n">
        <v>0.12</v>
      </c>
      <c r="D17" s="57" t="n">
        <v>0.14</v>
      </c>
      <c r="E17" s="57" t="n">
        <v>0.16</v>
      </c>
      <c r="F17" s="57" t="n">
        <v>0.18</v>
      </c>
      <c r="G17" s="57" t="n">
        <v>0.2</v>
      </c>
      <c r="H17" s="57" t="n">
        <v>0.22</v>
      </c>
    </row>
    <row r="18" customFormat="false" ht="12.75" hidden="false" customHeight="true" outlineLevel="0" collapsed="false">
      <c r="A18" s="54" t="n">
        <v>0.12</v>
      </c>
      <c r="B18" s="55" t="n">
        <v>37</v>
      </c>
      <c r="C18" s="55" t="n">
        <v>47</v>
      </c>
      <c r="D18" s="55" t="n">
        <v>57</v>
      </c>
      <c r="E18" s="55" t="n">
        <v>67</v>
      </c>
      <c r="F18" s="55" t="n">
        <v>77</v>
      </c>
      <c r="G18" s="55" t="n">
        <v>87</v>
      </c>
      <c r="H18" s="55" t="n">
        <v>96</v>
      </c>
    </row>
    <row r="19" customFormat="false" ht="12.75" hidden="false" customHeight="true" outlineLevel="0" collapsed="false">
      <c r="A19" s="54" t="n">
        <v>0.13</v>
      </c>
      <c r="B19" s="55" t="n">
        <v>32</v>
      </c>
      <c r="C19" s="55" t="n">
        <v>40</v>
      </c>
      <c r="D19" s="55" t="n">
        <v>48</v>
      </c>
      <c r="E19" s="55" t="n">
        <v>57</v>
      </c>
      <c r="F19" s="55" t="n">
        <v>65</v>
      </c>
      <c r="G19" s="55" t="n">
        <v>73</v>
      </c>
      <c r="H19" s="55" t="n">
        <v>81</v>
      </c>
    </row>
    <row r="20" customFormat="false" ht="12.75" hidden="false" customHeight="true" outlineLevel="0" collapsed="false">
      <c r="A20" s="54" t="n">
        <v>0.14</v>
      </c>
      <c r="B20" s="55" t="n">
        <v>28</v>
      </c>
      <c r="C20" s="55" t="n">
        <v>35</v>
      </c>
      <c r="D20" s="55" t="n">
        <v>42</v>
      </c>
      <c r="E20" s="55" t="n">
        <v>49</v>
      </c>
      <c r="F20" s="55" t="n">
        <v>56</v>
      </c>
      <c r="G20" s="55" t="n">
        <v>63</v>
      </c>
      <c r="H20" s="55" t="n">
        <v>70</v>
      </c>
    </row>
    <row r="21" customFormat="false" ht="12.75" hidden="false" customHeight="true" outlineLevel="0" collapsed="false">
      <c r="A21" s="54" t="n">
        <v>0.145</v>
      </c>
      <c r="B21" s="55" t="n">
        <v>27</v>
      </c>
      <c r="C21" s="55" t="n">
        <v>33</v>
      </c>
      <c r="D21" s="55" t="n">
        <v>40</v>
      </c>
      <c r="E21" s="56" t="n">
        <v>46</v>
      </c>
      <c r="F21" s="55" t="n">
        <v>53</v>
      </c>
      <c r="G21" s="55" t="n">
        <v>59</v>
      </c>
      <c r="H21" s="55" t="n">
        <v>65</v>
      </c>
    </row>
    <row r="22" customFormat="false" ht="12.75" hidden="false" customHeight="true" outlineLevel="0" collapsed="false">
      <c r="A22" s="54" t="n">
        <v>0.15</v>
      </c>
      <c r="B22" s="55" t="n">
        <v>25</v>
      </c>
      <c r="C22" s="55" t="n">
        <v>31</v>
      </c>
      <c r="D22" s="55" t="n">
        <v>37</v>
      </c>
      <c r="E22" s="55" t="n">
        <v>43</v>
      </c>
      <c r="F22" s="55" t="n">
        <v>49</v>
      </c>
      <c r="G22" s="55" t="n">
        <v>55</v>
      </c>
      <c r="H22" s="55" t="n">
        <v>61</v>
      </c>
    </row>
    <row r="23" customFormat="false" ht="12.75" hidden="false" customHeight="true" outlineLevel="0" collapsed="false">
      <c r="A23" s="54" t="n">
        <v>0.16</v>
      </c>
      <c r="B23" s="55" t="n">
        <v>23</v>
      </c>
      <c r="C23" s="55" t="n">
        <v>28</v>
      </c>
      <c r="D23" s="55" t="n">
        <v>33</v>
      </c>
      <c r="E23" s="55" t="n">
        <v>39</v>
      </c>
      <c r="F23" s="55" t="n">
        <v>44</v>
      </c>
      <c r="G23" s="55" t="n">
        <v>49</v>
      </c>
      <c r="H23" s="55" t="n">
        <v>54</v>
      </c>
    </row>
    <row r="24" customFormat="false" ht="12.75" hidden="false" customHeight="true" outlineLevel="0" collapsed="false">
      <c r="A24" s="54" t="n">
        <v>0.17</v>
      </c>
      <c r="B24" s="55" t="n">
        <v>21</v>
      </c>
      <c r="C24" s="55" t="n">
        <v>26</v>
      </c>
      <c r="D24" s="55" t="n">
        <v>30</v>
      </c>
      <c r="E24" s="55" t="n">
        <v>35</v>
      </c>
      <c r="F24" s="55" t="n">
        <v>39</v>
      </c>
      <c r="G24" s="55" t="n">
        <v>44</v>
      </c>
      <c r="H24" s="55" t="n">
        <v>48</v>
      </c>
    </row>
    <row r="25" customFormat="false" ht="6" hidden="false" customHeight="true" outlineLevel="0" collapsed="false"/>
    <row r="26" customFormat="false" ht="12.75" hidden="false" customHeight="true" outlineLevel="0" collapsed="false">
      <c r="A26" s="8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2026-06-14T06:36:12Z</dcterms:created>
  <dc:creator>openpyxl</dc:creator>
  <dc:description/>
  <dc:language>en-US</dc:language>
  <cp:lastModifiedBy/>
  <dcterms:modified xsi:type="dcterms:W3CDTF">2026-06-14T06:46:39Z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